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AUTOMATION TEST\ProjectTest2025\src\test\resources\testdata\"/>
    </mc:Choice>
  </mc:AlternateContent>
  <xr:revisionPtr revIDLastSave="0" documentId="13_ncr:1_{E499B43D-5FC6-4FEE-8D65-A9100E8C3764}" xr6:coauthVersionLast="47" xr6:coauthVersionMax="47" xr10:uidLastSave="{00000000-0000-0000-0000-000000000000}"/>
  <bookViews>
    <workbookView xWindow="-120" yWindow="-120" windowWidth="20730" windowHeight="11040" activeTab="4" xr2:uid="{00000000-000D-0000-FFFF-FFFF00000000}"/>
  </bookViews>
  <sheets>
    <sheet name="Requirement Mapping" sheetId="3" r:id="rId1"/>
    <sheet name="Sheet1" sheetId="1" r:id="rId2"/>
    <sheet name="TestData" sheetId="4" r:id="rId3"/>
    <sheet name="TestData2" sheetId="5" r:id="rId4"/>
    <sheet name="Sheet2" sheetId="2" r:id="rId5"/>
  </sheets>
  <definedNames>
    <definedName name="_xlnm._FilterDatabase" localSheetId="4" hidden="1">Sheet2!$B$21:$C$31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8" i="1"/>
  <c r="B67" i="1"/>
  <c r="B83" i="1"/>
  <c r="B82" i="1"/>
  <c r="B81" i="1"/>
  <c r="B80" i="1"/>
  <c r="B79" i="1"/>
  <c r="B78" i="1"/>
  <c r="B77" i="1"/>
  <c r="B75" i="1"/>
  <c r="B74" i="1"/>
  <c r="B76" i="1"/>
  <c r="B73" i="1"/>
  <c r="B72" i="1"/>
  <c r="B71" i="1"/>
  <c r="B70" i="1"/>
  <c r="B66" i="1"/>
  <c r="B64" i="1"/>
  <c r="B61" i="1"/>
  <c r="B62" i="1"/>
  <c r="B59" i="1"/>
  <c r="B60" i="1"/>
  <c r="E6" i="3"/>
  <c r="B57" i="1"/>
  <c r="B65" i="1"/>
  <c r="B63" i="1"/>
  <c r="B58" i="1"/>
  <c r="B35" i="1"/>
  <c r="B50" i="1"/>
  <c r="B49" i="1"/>
  <c r="B48" i="1"/>
  <c r="B47" i="1"/>
  <c r="B22" i="1"/>
  <c r="B53" i="1"/>
  <c r="B45" i="1"/>
  <c r="B32" i="1"/>
  <c r="B51" i="1"/>
  <c r="B46" i="1"/>
  <c r="B44" i="1"/>
  <c r="B43" i="1"/>
  <c r="B42" i="1"/>
  <c r="B41" i="1"/>
  <c r="B40" i="1"/>
  <c r="B39" i="1"/>
  <c r="B38" i="1"/>
  <c r="B37" i="1"/>
  <c r="B36" i="1"/>
  <c r="B34" i="1"/>
  <c r="B33" i="1"/>
  <c r="B31" i="1"/>
  <c r="B30" i="1"/>
  <c r="B29" i="1"/>
  <c r="B28" i="1"/>
  <c r="B27" i="1"/>
  <c r="B26" i="1"/>
  <c r="B25" i="1"/>
  <c r="B24" i="1"/>
  <c r="B23" i="1"/>
  <c r="B21" i="1"/>
  <c r="B20" i="1"/>
  <c r="B19" i="1"/>
  <c r="B18" i="1"/>
  <c r="B17" i="1"/>
  <c r="B16" i="1"/>
  <c r="B54" i="1"/>
  <c r="B52" i="1"/>
  <c r="E5" i="3"/>
  <c r="B4" i="1"/>
  <c r="B15" i="1"/>
  <c r="B16" i="2"/>
  <c r="C9" i="2"/>
  <c r="B9" i="2"/>
  <c r="C8" i="2"/>
  <c r="B8" i="2"/>
  <c r="C7" i="2"/>
  <c r="B7" i="2"/>
  <c r="C6" i="2"/>
  <c r="C4" i="2" s="1"/>
  <c r="B6" i="2"/>
  <c r="C5" i="2"/>
  <c r="B5" i="2"/>
  <c r="B4" i="2"/>
  <c r="C3" i="2"/>
  <c r="B3" i="2"/>
  <c r="C3" i="1" l="1"/>
  <c r="B3" i="1"/>
</calcChain>
</file>

<file path=xl/sharedStrings.xml><?xml version="1.0" encoding="utf-8"?>
<sst xmlns="http://schemas.openxmlformats.org/spreadsheetml/2006/main" count="1410" uniqueCount="270">
  <si>
    <t>Method</t>
  </si>
  <si>
    <t>TEST CASE</t>
  </si>
  <si>
    <t>Round 1</t>
  </si>
  <si>
    <t>Round 2</t>
  </si>
  <si>
    <t>Total Test Case</t>
  </si>
  <si>
    <t>Total Executed</t>
  </si>
  <si>
    <t>Passed</t>
  </si>
  <si>
    <t>Failed</t>
  </si>
  <si>
    <t>Untested</t>
  </si>
  <si>
    <t>Accepted</t>
  </si>
  <si>
    <t>N/A</t>
  </si>
  <si>
    <t>TEST CASES</t>
  </si>
  <si>
    <t>Total Test case</t>
  </si>
  <si>
    <t xml:space="preserve"> </t>
  </si>
  <si>
    <t>Requirement Id</t>
  </si>
  <si>
    <t>Test case Id</t>
  </si>
  <si>
    <t>Test case Title</t>
  </si>
  <si>
    <t>Test procedure</t>
  </si>
  <si>
    <t>Expected result</t>
  </si>
  <si>
    <t>Inter-test case Dependence</t>
  </si>
  <si>
    <t>Priority</t>
  </si>
  <si>
    <t>Test Round 1 Result</t>
  </si>
  <si>
    <t>Test Round 2 Result</t>
  </si>
  <si>
    <t>Remarks</t>
  </si>
  <si>
    <t>Function Test cases</t>
  </si>
  <si>
    <t>By business rule</t>
  </si>
  <si>
    <t>Req_1</t>
  </si>
  <si>
    <t xml:space="preserve">UC 1 - View My Purchase Requests </t>
  </si>
  <si>
    <t>Pre-conditions:
- Role: Requestor
- User logged in the system successfully</t>
  </si>
  <si>
    <t>High</t>
  </si>
  <si>
    <t>a</t>
  </si>
  <si>
    <t xml:space="preserve">a
</t>
  </si>
  <si>
    <t>Pre-condition</t>
  </si>
  <si>
    <t xml:space="preserve">UC1 - Book Management </t>
  </si>
  <si>
    <t xml:space="preserve">Pre-conditions:
</t>
  </si>
  <si>
    <t>POST</t>
  </si>
  <si>
    <t>Round 3</t>
  </si>
  <si>
    <t>REQUIREMENT TRACEABILITY MATRIX</t>
  </si>
  <si>
    <t>Feature</t>
  </si>
  <si>
    <t>Test case Reference</t>
  </si>
  <si>
    <t>Requirement reference</t>
  </si>
  <si>
    <t>Description</t>
  </si>
  <si>
    <t>Test Case number</t>
  </si>
  <si>
    <t xml:space="preserve">Book Management </t>
  </si>
  <si>
    <t>Create a book</t>
  </si>
  <si>
    <t>Refer to Sheet 1 sheet</t>
  </si>
  <si>
    <t>Refer to SRS</t>
  </si>
  <si>
    <t>Endpoint</t>
  </si>
  <si>
    <t>Test Type</t>
  </si>
  <si>
    <t>Positive</t>
  </si>
  <si>
    <t>/api/book</t>
  </si>
  <si>
    <t>Request headers</t>
  </si>
  <si>
    <t>Content-Type: application/json</t>
  </si>
  <si>
    <t>PathParam</t>
  </si>
  <si>
    <t>-</t>
  </si>
  <si>
    <t>Query Param</t>
  </si>
  <si>
    <t>Request Body</t>
  </si>
  <si>
    <t>valid body</t>
  </si>
  <si>
    <t>Expected Status</t>
  </si>
  <si>
    <t>Schema Validation</t>
  </si>
  <si>
    <t>Response Validation</t>
  </si>
  <si>
    <t>Automation Flag</t>
  </si>
  <si>
    <t>full payload</t>
  </si>
  <si>
    <t>Negative</t>
  </si>
  <si>
    <t>Boundary value</t>
  </si>
  <si>
    <t>Security</t>
  </si>
  <si>
    <t>Edge case</t>
  </si>
  <si>
    <t>Content-Type: application/json
Authorization: Bearer</t>
  </si>
  <si>
    <t>categories: ["Đoàn Giỏi", "Truyện"]</t>
  </si>
  <si>
    <t>categories: ["Fiction"]</t>
  </si>
  <si>
    <t>promotions : ["cmjl16tbm004q7uk1b5nmfcs9", "cmjky6nzl004g7uk12ajbnstp"]</t>
  </si>
  <si>
    <t>promotions: 
["cmjl16tbm004q7uk1b5nmfcs9", "cmjky6nzl004g7uk12ajbnstp"]</t>
  </si>
  <si>
    <t>price: 1000000000000</t>
  </si>
  <si>
    <t>status : "AVAILABLE"</t>
  </si>
  <si>
    <t>status : "UNAVAILABLE"</t>
  </si>
  <si>
    <t>Create book with single category</t>
  </si>
  <si>
    <t>Create book with multiple categories</t>
  </si>
  <si>
    <t>Create book with single promotion</t>
  </si>
  <si>
    <t>Create book with multiple promotions</t>
  </si>
  <si>
    <t>Create book</t>
  </si>
  <si>
    <t>Create book with SQL injection in name</t>
  </si>
  <si>
    <t>Create book with XSS in décription</t>
  </si>
  <si>
    <t>Create book with Empty categories</t>
  </si>
  <si>
    <t>Create book with Missing categories key</t>
  </si>
  <si>
    <t>Create book with Empty name</t>
  </si>
  <si>
    <t>Create book with Duplicate name</t>
  </si>
  <si>
    <t>Create book with Empty price</t>
  </si>
  <si>
    <t>Create book with Empty status</t>
  </si>
  <si>
    <t>Create book with invalid status</t>
  </si>
  <si>
    <t>Create book with a negative price</t>
  </si>
  <si>
    <t xml:space="preserve">Create book with price =0 </t>
  </si>
  <si>
    <t>Create book with price = 1000</t>
  </si>
  <si>
    <t>Create book with Duplicate slug</t>
  </si>
  <si>
    <t>Create book with invalid categories (not exist)</t>
  </si>
  <si>
    <t>Create book with invalid promotions (not exist)</t>
  </si>
  <si>
    <r>
      <t xml:space="preserve">Create book with </t>
    </r>
    <r>
      <rPr>
        <b/>
        <sz val="10"/>
        <color theme="1"/>
        <rFont val="Arial"/>
        <family val="2"/>
      </rPr>
      <t>expired</t>
    </r>
    <r>
      <rPr>
        <sz val="10"/>
        <color theme="1"/>
        <rFont val="Arial"/>
        <family val="2"/>
      </rPr>
      <t xml:space="preserve"> Token</t>
    </r>
  </si>
  <si>
    <r>
      <t xml:space="preserve">Create book with </t>
    </r>
    <r>
      <rPr>
        <b/>
        <sz val="10"/>
        <color theme="1"/>
        <rFont val="Arial"/>
        <family val="2"/>
      </rPr>
      <t>invalid</t>
    </r>
    <r>
      <rPr>
        <sz val="10"/>
        <color theme="1"/>
        <rFont val="Arial"/>
        <family val="2"/>
      </rPr>
      <t xml:space="preserve"> Token</t>
    </r>
  </si>
  <si>
    <t>Create book with only valid required field</t>
  </si>
  <si>
    <t>Create book with all fields (full payload)</t>
  </si>
  <si>
    <t>Create book with valid array pictures array</t>
  </si>
  <si>
    <t>Create book with empty pictures array</t>
  </si>
  <si>
    <t>Create book with status AVAILABLE</t>
  </si>
  <si>
    <t>Create book with status UNAVAILABLE</t>
  </si>
  <si>
    <t>Create book with very long name</t>
  </si>
  <si>
    <t>Create book with very long description</t>
  </si>
  <si>
    <t>Create book with max allowed price</t>
  </si>
  <si>
    <t>Create book with special characters in name</t>
  </si>
  <si>
    <t>Create book with Missing name filed</t>
  </si>
  <si>
    <t>Create book with Missing price filed</t>
  </si>
  <si>
    <t>Create book with Missing status field</t>
  </si>
  <si>
    <t>Create book with price as string</t>
  </si>
  <si>
    <t>Invalid Data Type</t>
  </si>
  <si>
    <t>Create book with categories as string instead of array</t>
  </si>
  <si>
    <t>Create book with promotions as string instead of array</t>
  </si>
  <si>
    <t>Create book with pictures as string instead of array</t>
  </si>
  <si>
    <t>Create book without Authentication header</t>
  </si>
  <si>
    <t>Create book with invalid Content-Type</t>
  </si>
  <si>
    <t>Verify status code and response message</t>
  </si>
  <si>
    <t>Yes</t>
  </si>
  <si>
    <t>TC_ID</t>
  </si>
  <si>
    <t>name</t>
  </si>
  <si>
    <t>categories</t>
  </si>
  <si>
    <t>price</t>
  </si>
  <si>
    <t>status</t>
  </si>
  <si>
    <t>description</t>
  </si>
  <si>
    <t>pictures</t>
  </si>
  <si>
    <t>promotions</t>
  </si>
  <si>
    <t>slug</t>
  </si>
  <si>
    <t>includeName</t>
  </si>
  <si>
    <t>includeCategories</t>
  </si>
  <si>
    <t>includePrice</t>
  </si>
  <si>
    <t>includeStatus</t>
  </si>
  <si>
    <t>JsonSchema</t>
  </si>
  <si>
    <t>ExpectedStatus</t>
  </si>
  <si>
    <t>Scenario</t>
  </si>
  <si>
    <t>["Đoàn Giỏi","Truyện"]</t>
  </si>
  <si>
    <t>Dung bao gio di an mot minh</t>
  </si>
  <si>
    <t>AVAILABLE</t>
  </si>
  <si>
    <t>Dung bao gio di an mot minh Description</t>
  </si>
  <si>
    <t>["/$book-image/thu-book-test-1/think-and-grow-rich-5_kji3.jpg"]</t>
  </si>
  <si>
    <t>["cmmtd68cm0o747uk1slv1g0b2"]</t>
  </si>
  <si>
    <t>jsonSchema/CreateBookSuccessSchema.json</t>
  </si>
  <si>
    <t>[TC_21]</t>
  </si>
  <si>
    <t>[TC_19]</t>
  </si>
  <si>
    <t>Dung-bao-gio-di-an-mot-minh</t>
  </si>
  <si>
    <t>[TC_26]</t>
  </si>
  <si>
    <t>[TC_24]</t>
  </si>
  <si>
    <t>[TC_2]</t>
  </si>
  <si>
    <t>jsonSchema/CreateBook_MissingCategories.json</t>
  </si>
  <si>
    <t>jsonSchema/CreateBook_MissingName.json</t>
  </si>
  <si>
    <t>[TC_1]</t>
  </si>
  <si>
    <t>[TC_3]</t>
  </si>
  <si>
    <r>
      <t xml:space="preserve">Create book with </t>
    </r>
    <r>
      <rPr>
        <b/>
        <sz val="11"/>
        <color theme="1"/>
        <rFont val="Calibri"/>
        <family val="2"/>
        <scheme val="minor"/>
      </rPr>
      <t>single category</t>
    </r>
  </si>
  <si>
    <t>["Đoàn Giỏi"]</t>
  </si>
  <si>
    <t>[TC_4]</t>
  </si>
  <si>
    <r>
      <t>Create book with</t>
    </r>
    <r>
      <rPr>
        <b/>
        <sz val="11"/>
        <color theme="1"/>
        <rFont val="Calibri"/>
        <family val="2"/>
        <scheme val="minor"/>
      </rPr>
      <t xml:space="preserve"> multiple categories</t>
    </r>
  </si>
  <si>
    <t>["Đoàn Giỏi","Truyện", "Phương Nam", "Test", "Bình tĩnh sống"]</t>
  </si>
  <si>
    <t>[TC_5]</t>
  </si>
  <si>
    <r>
      <t>Create book with</t>
    </r>
    <r>
      <rPr>
        <b/>
        <sz val="11"/>
        <color theme="1"/>
        <rFont val="Calibri"/>
        <family val="2"/>
        <scheme val="minor"/>
      </rPr>
      <t xml:space="preserve"> single promotion</t>
    </r>
  </si>
  <si>
    <t>["cmjky6nzl004g7uk12ajbnstp"]</t>
  </si>
  <si>
    <t>[TC_6]</t>
  </si>
  <si>
    <r>
      <t xml:space="preserve">Create book with </t>
    </r>
    <r>
      <rPr>
        <b/>
        <sz val="11"/>
        <color theme="1"/>
        <rFont val="Calibri"/>
        <family val="2"/>
        <scheme val="minor"/>
      </rPr>
      <t>multiple promotions</t>
    </r>
  </si>
  <si>
    <t>["cmjky6nzl004g7uk12ajbnstp", "cmjjzwsye00457uk1ji2fqgil", "cmjk08ase00487uk1crxyx6cr", "cmjjzc1wu00407uk16fbp58ag"]</t>
  </si>
  <si>
    <t>[TC_7]</t>
  </si>
  <si>
    <r>
      <t>Create book with very</t>
    </r>
    <r>
      <rPr>
        <b/>
        <sz val="11"/>
        <color theme="1"/>
        <rFont val="Calibri"/>
        <family val="2"/>
        <scheme val="minor"/>
      </rPr>
      <t xml:space="preserve"> long name</t>
    </r>
  </si>
  <si>
    <t xml:space="preserve">Lorem ipsum dolor sit amet, consectetur adipiscing elit. Duis nulla urna, maximus nec varius nec, feugiat eu magna. In ut aliquam lectus, vel efficitur ante. Nullam tempor, lacus pulvinar efficitur rutrum, enim diam efficitur neque, non molestie lectus orci et ligula. Etiam suscipit purus nec ipsum auctor, quis condimentum risus consectetur. Proin arcu ipsum, facilisis in neque sit amet, venenatis hendrerit tellus. Etiam facilisis purus in enim porta ullamcorper. </t>
  </si>
  <si>
    <t>[TC_8]</t>
  </si>
  <si>
    <r>
      <t xml:space="preserve">Create book with </t>
    </r>
    <r>
      <rPr>
        <b/>
        <sz val="11"/>
        <color theme="1"/>
        <rFont val="Calibri"/>
        <family val="2"/>
        <scheme val="minor"/>
      </rPr>
      <t>special</t>
    </r>
    <r>
      <rPr>
        <sz val="11"/>
        <color theme="1"/>
        <rFont val="Calibri"/>
        <family val="2"/>
        <scheme val="minor"/>
      </rPr>
      <t xml:space="preserve"> </t>
    </r>
    <r>
      <rPr>
        <b/>
        <sz val="11"/>
        <color theme="1"/>
        <rFont val="Calibri"/>
        <family val="2"/>
        <scheme val="minor"/>
      </rPr>
      <t>characters</t>
    </r>
    <r>
      <rPr>
        <sz val="11"/>
        <color theme="1"/>
        <rFont val="Calibri"/>
        <family val="2"/>
        <scheme val="minor"/>
      </rPr>
      <t xml:space="preserve"> in name</t>
    </r>
  </si>
  <si>
    <t>Dung bao gio di an mot minh !@#$%^&amp;*()_-=+~`{}[]:";'&lt;&gt;?,./</t>
  </si>
  <si>
    <t>[TC_9]</t>
  </si>
  <si>
    <r>
      <t xml:space="preserve">Create book with very </t>
    </r>
    <r>
      <rPr>
        <b/>
        <sz val="11"/>
        <color theme="1"/>
        <rFont val="Calibri"/>
        <family val="2"/>
        <scheme val="minor"/>
      </rPr>
      <t>long</t>
    </r>
    <r>
      <rPr>
        <sz val="11"/>
        <color theme="1"/>
        <rFont val="Calibri"/>
        <family val="2"/>
        <scheme val="minor"/>
      </rPr>
      <t xml:space="preserve"> </t>
    </r>
    <r>
      <rPr>
        <b/>
        <sz val="11"/>
        <color theme="1"/>
        <rFont val="Calibri"/>
        <family val="2"/>
        <scheme val="minor"/>
      </rPr>
      <t>description</t>
    </r>
  </si>
  <si>
    <t>Lorem ipsum dolor sit amet, consectetur adipiscing elit. Duis nulla urna, maximus nec varius nec, feugiat eu magna. In ut aliquam lectus, vel efficitur ante. Nullam tempor, lacus pulvinar efficitur rutrum, enim diam efficitur neque, non molestie lectus orci et ligula. Etiam suscipit purus nec ipsum auctor, quis condimentum risus consectetur. Proin arcu ipsum, facilisis in neque sit amet, venenatis hendrerit tellus. Etiam facilisis purus in enim porta ullamcorper. Pellentesque accumsan turpis felis, a egestas ipsum mattis eget. Nam erat lorem, vulputate id convallis in, mattis nec risus. Phasellus eu tortor nibh. Morbi ornare aliquam ex at ornare. In varius mi nulla, in bibendum velit tincidunt eget. Praesent eget imperdiet augue.
Orci varius natoque penatibus et magnis dis parturient montes, nascetur ridiculus mus. Sed maximus arcu id sapien suscipit tincidunt. Ut nulla nulla, ultrices ac tincidunt efficitur, laoreet sit amet lectus. Curabitur ultricies diam et nisi pulvinar, luctus tempor libero placerat. Mauris sit amet pretium urna, condimentum viverra ante. Ut porta convallis felis sit amet volutpat. Etiam imperdiet quam eu ipsum varius, a placerat dui tincidunt. Integer sed rutrum justo. Duis quis pulvinar sem. Proin vulputate nulla tortor, ac porttitor nunc dictum sed. Aliquam tempus mi nec tortor accumsan commodo. Integer rutrum sagittis augue id consectetur. Phasellus ornare tincidunt magna, id elementum ipsum euismod quis. Integer imperdiet sed odio non ultricies.
Fusce at elementum lectus. Donec et tincidunt nisi. Nunc non enim rhoncus, scelerisque dui a, venenatis justo. Nulla porttitor ac enim nec vulputate. Morbi viverra metus id mi condimentum, eu condimentum libero tempor. Orci varius natoque penatibus et magnis dis parturient montes, nascetur ridiculus mus. Suspendisse et laoreet diam. Lorem ipsum dolor sit amet, consectetur adipiscing elit. Nulla facilisi. Ut posuere sit amet quam sed porttitor. Etiam nisl nulla, aliquam ut ligula vitae, ultrices venenatis turpis. In hac habitasse platea dictumst. Nullam non finibus ante. Sed sit amet elit tincidunt, auctor augue eget, facilisis mauris. Donec tincidunt arcu et nisi accumsan, eu auctor neque commodo. Cras id scelerisque purus.</t>
  </si>
  <si>
    <t>[TC_10]</t>
  </si>
  <si>
    <r>
      <t xml:space="preserve">Create book with </t>
    </r>
    <r>
      <rPr>
        <b/>
        <sz val="11"/>
        <color theme="1"/>
        <rFont val="Calibri"/>
        <family val="2"/>
        <scheme val="minor"/>
      </rPr>
      <t>max allowed price</t>
    </r>
  </si>
  <si>
    <t>[TC_11]</t>
  </si>
  <si>
    <r>
      <t xml:space="preserve">Create book with status </t>
    </r>
    <r>
      <rPr>
        <b/>
        <sz val="11"/>
        <color theme="1"/>
        <rFont val="Calibri"/>
        <family val="2"/>
        <scheme val="minor"/>
      </rPr>
      <t>AVAILABLE</t>
    </r>
  </si>
  <si>
    <t>[TC_12]</t>
  </si>
  <si>
    <r>
      <t xml:space="preserve">Create book with status </t>
    </r>
    <r>
      <rPr>
        <b/>
        <sz val="11"/>
        <color theme="1"/>
        <rFont val="Calibri"/>
        <family val="2"/>
        <scheme val="minor"/>
      </rPr>
      <t>UNAVAILABLE</t>
    </r>
  </si>
  <si>
    <t>UNAVAILABLE</t>
  </si>
  <si>
    <t>[TC_13]</t>
  </si>
  <si>
    <r>
      <t xml:space="preserve">Create book with </t>
    </r>
    <r>
      <rPr>
        <b/>
        <sz val="11"/>
        <color theme="1"/>
        <rFont val="Calibri"/>
        <family val="2"/>
        <scheme val="minor"/>
      </rPr>
      <t>valid</t>
    </r>
    <r>
      <rPr>
        <sz val="11"/>
        <color theme="1"/>
        <rFont val="Calibri"/>
        <family val="2"/>
        <scheme val="minor"/>
      </rPr>
      <t xml:space="preserve"> </t>
    </r>
    <r>
      <rPr>
        <b/>
        <sz val="11"/>
        <color theme="1"/>
        <rFont val="Calibri"/>
        <family val="2"/>
        <scheme val="minor"/>
      </rPr>
      <t>array pictures array</t>
    </r>
  </si>
  <si>
    <t>["/$book-image/thu-book-test-1/think-and-grow-rich-5_kji3.jpg", "/$book-image/thu-book-test-1/think-and-grow-rich-5_kji3.jpg"]</t>
  </si>
  <si>
    <t>[TC_14]</t>
  </si>
  <si>
    <r>
      <t xml:space="preserve">Create book with </t>
    </r>
    <r>
      <rPr>
        <b/>
        <sz val="11"/>
        <color theme="1"/>
        <rFont val="Calibri"/>
        <family val="2"/>
        <scheme val="minor"/>
      </rPr>
      <t>empty pictures</t>
    </r>
    <r>
      <rPr>
        <sz val="11"/>
        <color theme="1"/>
        <rFont val="Calibri"/>
        <family val="2"/>
        <scheme val="minor"/>
      </rPr>
      <t xml:space="preserve"> array</t>
    </r>
  </si>
  <si>
    <t>[]</t>
  </si>
  <si>
    <t>[TC_15]</t>
  </si>
  <si>
    <r>
      <t xml:space="preserve">Create book with </t>
    </r>
    <r>
      <rPr>
        <b/>
        <sz val="11"/>
        <color theme="1"/>
        <rFont val="Calibri"/>
        <family val="2"/>
        <scheme val="minor"/>
      </rPr>
      <t xml:space="preserve">SQL injection </t>
    </r>
    <r>
      <rPr>
        <sz val="11"/>
        <color theme="1"/>
        <rFont val="Calibri"/>
        <family val="2"/>
        <scheme val="minor"/>
      </rPr>
      <t>in name</t>
    </r>
  </si>
  <si>
    <t xml:space="preserve"> OR 1=1 --</t>
  </si>
  <si>
    <t>[TC_16]</t>
  </si>
  <si>
    <r>
      <t>Create book with</t>
    </r>
    <r>
      <rPr>
        <b/>
        <sz val="11"/>
        <color theme="1"/>
        <rFont val="Calibri"/>
        <family val="2"/>
        <scheme val="minor"/>
      </rPr>
      <t xml:space="preserve"> XSS in description</t>
    </r>
  </si>
  <si>
    <t>&lt;script&gt;alert('XSS')&lt;/script&gt;</t>
  </si>
  <si>
    <t>[TC_17]</t>
  </si>
  <si>
    <r>
      <t xml:space="preserve">Create book with </t>
    </r>
    <r>
      <rPr>
        <b/>
        <sz val="11"/>
        <color theme="1"/>
        <rFont val="Calibri"/>
        <family val="2"/>
        <scheme val="minor"/>
      </rPr>
      <t>Empty</t>
    </r>
    <r>
      <rPr>
        <sz val="11"/>
        <color theme="1"/>
        <rFont val="Calibri"/>
        <family val="2"/>
        <scheme val="minor"/>
      </rPr>
      <t xml:space="preserve"> </t>
    </r>
    <r>
      <rPr>
        <b/>
        <sz val="11"/>
        <color theme="1"/>
        <rFont val="Calibri"/>
        <family val="2"/>
        <scheme val="minor"/>
      </rPr>
      <t>categories</t>
    </r>
  </si>
  <si>
    <t>[TC_18]</t>
  </si>
  <si>
    <t>["Category not exist","Truyện not exist"]</t>
  </si>
  <si>
    <t>[TC_20]</t>
  </si>
  <si>
    <t>[TC_22]</t>
  </si>
  <si>
    <r>
      <t>Create book with</t>
    </r>
    <r>
      <rPr>
        <b/>
        <sz val="11"/>
        <color theme="1"/>
        <rFont val="Calibri"/>
        <family val="2"/>
        <scheme val="minor"/>
      </rPr>
      <t xml:space="preserve"> Duplicate name</t>
    </r>
  </si>
  <si>
    <t>[TC_23]</t>
  </si>
  <si>
    <r>
      <t xml:space="preserve">Create book with </t>
    </r>
    <r>
      <rPr>
        <b/>
        <sz val="11"/>
        <color theme="1"/>
        <rFont val="Calibri"/>
        <family val="2"/>
        <scheme val="minor"/>
      </rPr>
      <t>Empty price</t>
    </r>
  </si>
  <si>
    <r>
      <t>Create book with</t>
    </r>
    <r>
      <rPr>
        <b/>
        <sz val="11"/>
        <color theme="1"/>
        <rFont val="Calibri"/>
        <family val="2"/>
        <scheme val="minor"/>
      </rPr>
      <t xml:space="preserve"> Missing price </t>
    </r>
    <r>
      <rPr>
        <sz val="11"/>
        <color theme="1"/>
        <rFont val="Calibri"/>
        <family val="2"/>
        <scheme val="minor"/>
      </rPr>
      <t>filed</t>
    </r>
  </si>
  <si>
    <t>[TC_25]</t>
  </si>
  <si>
    <r>
      <t>Create book with</t>
    </r>
    <r>
      <rPr>
        <b/>
        <sz val="11"/>
        <color theme="1"/>
        <rFont val="Calibri"/>
        <family val="2"/>
        <scheme val="minor"/>
      </rPr>
      <t xml:space="preserve"> Empty status</t>
    </r>
  </si>
  <si>
    <r>
      <t>Create book with</t>
    </r>
    <r>
      <rPr>
        <b/>
        <sz val="11"/>
        <color theme="1"/>
        <rFont val="Calibri"/>
        <family val="2"/>
        <scheme val="minor"/>
      </rPr>
      <t xml:space="preserve"> Missing status</t>
    </r>
    <r>
      <rPr>
        <sz val="11"/>
        <color theme="1"/>
        <rFont val="Calibri"/>
        <family val="2"/>
        <scheme val="minor"/>
      </rPr>
      <t xml:space="preserve"> field</t>
    </r>
  </si>
  <si>
    <t>[TC_27]</t>
  </si>
  <si>
    <r>
      <t>Create book with</t>
    </r>
    <r>
      <rPr>
        <b/>
        <sz val="11"/>
        <color theme="1"/>
        <rFont val="Calibri"/>
        <family val="2"/>
        <scheme val="minor"/>
      </rPr>
      <t xml:space="preserve"> invalid status</t>
    </r>
  </si>
  <si>
    <t>Invalid status</t>
  </si>
  <si>
    <t>[TC_28]</t>
  </si>
  <si>
    <r>
      <t xml:space="preserve">Create book with a negative </t>
    </r>
    <r>
      <rPr>
        <b/>
        <sz val="11"/>
        <color theme="1"/>
        <rFont val="Calibri"/>
        <family val="2"/>
        <scheme val="minor"/>
      </rPr>
      <t>price</t>
    </r>
  </si>
  <si>
    <t>[TC_29]</t>
  </si>
  <si>
    <r>
      <t xml:space="preserve">Create book with </t>
    </r>
    <r>
      <rPr>
        <b/>
        <sz val="11"/>
        <color theme="1"/>
        <rFont val="Calibri"/>
        <family val="2"/>
        <scheme val="minor"/>
      </rPr>
      <t>price</t>
    </r>
    <r>
      <rPr>
        <sz val="11"/>
        <color theme="1"/>
        <rFont val="Calibri"/>
        <family val="2"/>
        <scheme val="minor"/>
      </rPr>
      <t xml:space="preserve"> =0 </t>
    </r>
  </si>
  <si>
    <t>[TC_30]</t>
  </si>
  <si>
    <r>
      <t xml:space="preserve">Create book with </t>
    </r>
    <r>
      <rPr>
        <b/>
        <sz val="11"/>
        <color theme="1"/>
        <rFont val="Calibri"/>
        <family val="2"/>
        <scheme val="minor"/>
      </rPr>
      <t>price</t>
    </r>
    <r>
      <rPr>
        <sz val="11"/>
        <color theme="1"/>
        <rFont val="Calibri"/>
        <family val="2"/>
        <scheme val="minor"/>
      </rPr>
      <t xml:space="preserve"> = 1000</t>
    </r>
  </si>
  <si>
    <t>[TC_31]</t>
  </si>
  <si>
    <r>
      <t xml:space="preserve">Create book with </t>
    </r>
    <r>
      <rPr>
        <b/>
        <sz val="11"/>
        <color theme="1"/>
        <rFont val="Calibri"/>
        <family val="2"/>
        <scheme val="minor"/>
      </rPr>
      <t>invalid promotions</t>
    </r>
    <r>
      <rPr>
        <sz val="11"/>
        <color theme="1"/>
        <rFont val="Calibri"/>
        <family val="2"/>
        <scheme val="minor"/>
      </rPr>
      <t xml:space="preserve"> (not exist)</t>
    </r>
  </si>
  <si>
    <t>["invalidPromotions"]</t>
  </si>
  <si>
    <t>[TC_32]</t>
  </si>
  <si>
    <r>
      <t xml:space="preserve">Create book with </t>
    </r>
    <r>
      <rPr>
        <b/>
        <sz val="11"/>
        <color theme="1"/>
        <rFont val="Calibri"/>
        <family val="2"/>
        <scheme val="minor"/>
      </rPr>
      <t>Duplicate slug</t>
    </r>
  </si>
  <si>
    <t>[TC_33]</t>
  </si>
  <si>
    <r>
      <t xml:space="preserve">Create book with </t>
    </r>
    <r>
      <rPr>
        <b/>
        <sz val="11"/>
        <color theme="1"/>
        <rFont val="Calibri"/>
        <family val="2"/>
        <scheme val="minor"/>
      </rPr>
      <t>price as string</t>
    </r>
  </si>
  <si>
    <t>priceAsString</t>
  </si>
  <si>
    <t>[TC_34]</t>
  </si>
  <si>
    <t>Story</t>
  </si>
  <si>
    <t>[TC_35]</t>
  </si>
  <si>
    <t>[TC_36]</t>
  </si>
  <si>
    <t>[TC_37]</t>
  </si>
  <si>
    <t>[TC_38]</t>
  </si>
  <si>
    <t>Create book with expired Token</t>
  </si>
  <si>
    <t>[TC_39]</t>
  </si>
  <si>
    <t>Create book with invalid Token</t>
  </si>
  <si>
    <t>MISSING</t>
  </si>
  <si>
    <t>Headers</t>
  </si>
  <si>
    <t>DEFAULT</t>
  </si>
  <si>
    <r>
      <t xml:space="preserve">Create book with </t>
    </r>
    <r>
      <rPr>
        <b/>
        <sz val="11"/>
        <color theme="1"/>
        <rFont val="Calibri"/>
        <family val="2"/>
        <scheme val="minor"/>
      </rPr>
      <t>Missing</t>
    </r>
    <r>
      <rPr>
        <sz val="11"/>
        <color theme="1"/>
        <rFont val="Calibri"/>
        <family val="2"/>
        <scheme val="minor"/>
      </rPr>
      <t xml:space="preserve"> categories key</t>
    </r>
  </si>
  <si>
    <r>
      <t xml:space="preserve">Create book with </t>
    </r>
    <r>
      <rPr>
        <b/>
        <sz val="11"/>
        <color theme="1"/>
        <rFont val="Calibri"/>
        <family val="2"/>
        <scheme val="minor"/>
      </rPr>
      <t>Empty</t>
    </r>
    <r>
      <rPr>
        <sz val="11"/>
        <color theme="1"/>
        <rFont val="Calibri"/>
        <family val="2"/>
        <scheme val="minor"/>
      </rPr>
      <t xml:space="preserve"> name</t>
    </r>
  </si>
  <si>
    <t>EMPTY</t>
  </si>
  <si>
    <r>
      <t xml:space="preserve">Create book with </t>
    </r>
    <r>
      <rPr>
        <b/>
        <sz val="11"/>
        <color theme="1"/>
        <rFont val="Calibri"/>
        <family val="2"/>
        <scheme val="minor"/>
      </rPr>
      <t xml:space="preserve">Missing name </t>
    </r>
    <r>
      <rPr>
        <sz val="11"/>
        <color theme="1"/>
        <rFont val="Calibri"/>
        <family val="2"/>
        <scheme val="minor"/>
      </rPr>
      <t>filed</t>
    </r>
  </si>
  <si>
    <t>Content-Type: application/json
Authorization: Bearer abc</t>
  </si>
  <si>
    <t>Content-Type: application/xml
Authorization: Bearer</t>
  </si>
  <si>
    <t>Dung bao gio di an mot minh DescriptionA8A8:J9</t>
  </si>
  <si>
    <t>get default price</t>
  </si>
  <si>
    <t>get default status</t>
  </si>
  <si>
    <t>remarks</t>
  </si>
  <si>
    <t>jsonSchema/CreateBook_msg.json</t>
  </si>
  <si>
    <t>Get book</t>
  </si>
  <si>
    <t>Req_2</t>
  </si>
  <si>
    <t>Pre-conditions:</t>
  </si>
  <si>
    <t>limit
page
search
sort
sortBy</t>
  </si>
  <si>
    <t>Get book without query params</t>
  </si>
  <si>
    <t>negative</t>
  </si>
  <si>
    <t>GET</t>
  </si>
  <si>
    <t>Authorization: Bearer</t>
  </si>
  <si>
    <t>Get book with invalid sort</t>
  </si>
  <si>
    <t>Get book with invalid sortBy</t>
  </si>
  <si>
    <r>
      <t xml:space="preserve">Get book with </t>
    </r>
    <r>
      <rPr>
        <b/>
        <sz val="10"/>
        <color theme="1"/>
        <rFont val="Arial"/>
        <family val="2"/>
      </rPr>
      <t>invalid</t>
    </r>
    <r>
      <rPr>
        <sz val="10"/>
        <color theme="1"/>
        <rFont val="Arial"/>
        <family val="2"/>
      </rPr>
      <t xml:space="preserve"> Token</t>
    </r>
  </si>
  <si>
    <r>
      <t xml:space="preserve">Get book with </t>
    </r>
    <r>
      <rPr>
        <b/>
        <sz val="10"/>
        <color theme="1"/>
        <rFont val="Arial"/>
        <family val="2"/>
      </rPr>
      <t>expired</t>
    </r>
    <r>
      <rPr>
        <sz val="10"/>
        <color theme="1"/>
        <rFont val="Arial"/>
        <family val="2"/>
      </rPr>
      <t xml:space="preserve"> Token</t>
    </r>
  </si>
  <si>
    <t>Get book without Authentication header</t>
  </si>
  <si>
    <t>Get book with valid limit &amp; page params</t>
  </si>
  <si>
    <t>Get book with valid search param</t>
  </si>
  <si>
    <t>Get book with full params</t>
  </si>
  <si>
    <t>Get book with valid sort fiels</t>
  </si>
  <si>
    <t>Get book with valid sortBy</t>
  </si>
  <si>
    <t>Get book with invalid limit value
"abc", -1, 0, "", 10001</t>
  </si>
  <si>
    <t>Get book with invalid page value
"abc", -1, 0, "", 10001</t>
  </si>
  <si>
    <t>edge case</t>
  </si>
  <si>
    <t>Empty Search</t>
  </si>
  <si>
    <t>Search not found</t>
  </si>
  <si>
    <t>Large limit boundary (10000)</t>
  </si>
  <si>
    <t>Get Book with Injection (SQL, XSS)</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</si>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</sst>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
    <numFmt numFmtId="165" formatCode="#,##0\ [$₫-42A]"/>
  </numFmts>
  <fonts count="1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4"/>
      <color rgb="FF1F497D"/>
      <name val="Arial"/>
      <family val="2"/>
    </font>
    <font>
      <sz val="11"/>
      <name val="ＭＳ Ｐゴシック"/>
      <family val="3"/>
      <charset val="128"/>
    </font>
    <font>
      <b/>
      <sz val="10"/>
      <color indexed="9"/>
      <name val="Arial"/>
      <family val="2"/>
    </font>
    <font>
      <b/>
      <sz val="10"/>
      <color indexed="8"/>
      <name val="Arial"/>
      <family val="2"/>
    </font>
    <font>
      <sz val="10"/>
      <name val="Arial"/>
      <family val="2"/>
    </font>
    <font>
      <sz val="10"/>
      <color theme="1"/>
      <name val="Arial"/>
      <family val="2"/>
    </font>
    <font>
      <b/>
      <sz val="10"/>
      <color theme="1"/>
      <name val="Arial"/>
      <family val="2"/>
    </font>
    <font>
      <sz val="11"/>
      <name val="明朝"/>
      <family val="1"/>
      <charset val="128"/>
    </font>
    <font>
      <b/>
      <sz val="10"/>
      <color theme="0"/>
      <name val="Arial"/>
      <family val="2"/>
    </font>
    <font>
      <b/>
      <sz val="10"/>
      <name val="Arial"/>
      <family val="2"/>
    </font>
    <font>
      <b/>
      <sz val="10"/>
      <color rgb="FFFF0000"/>
      <name val="Arial"/>
      <family val="2"/>
    </font>
    <font>
      <sz val="11"/>
      <color theme="1"/>
      <name val="Arial"/>
      <family val="2"/>
    </font>
    <font>
      <sz val="10"/>
      <color theme="1"/>
      <name val="Calibri"/>
      <family val="2"/>
      <scheme val="minor"/>
    </font>
    <font>
      <b/>
      <sz val="10"/>
      <color theme="1"/>
      <name val="Calibri"/>
      <family val="2"/>
      <scheme val="minor"/>
    </font>
    <font>
      <b/>
      <sz val="14"/>
      <color rgb="FF366092"/>
      <name val="Arial"/>
      <family val="2"/>
    </font>
  </fonts>
  <fills count="19">
    <fill>
      <patternFill patternType="none"/>
    </fill>
    <fill>
      <patternFill patternType="gray125"/>
    </fill>
    <fill>
      <patternFill patternType="solid">
        <fgColor indexed="9"/>
        <bgColor indexed="64"/>
      </patternFill>
    </fill>
    <fill>
      <patternFill patternType="solid">
        <fgColor theme="0"/>
        <bgColor indexed="26"/>
      </patternFill>
    </fill>
    <fill>
      <patternFill patternType="solid">
        <fgColor theme="0"/>
        <bgColor indexed="64"/>
      </patternFill>
    </fill>
    <fill>
      <patternFill patternType="solid">
        <fgColor rgb="FFCCFFCC"/>
        <bgColor indexed="32"/>
      </patternFill>
    </fill>
    <fill>
      <patternFill patternType="solid">
        <fgColor theme="4" tint="0.39997558519241921"/>
        <bgColor indexed="32"/>
      </patternFill>
    </fill>
    <fill>
      <patternFill patternType="solid">
        <fgColor indexed="65"/>
        <bgColor indexed="41"/>
      </patternFill>
    </fill>
    <fill>
      <patternFill patternType="solid">
        <fgColor theme="4" tint="-0.499984740745262"/>
        <bgColor indexed="32"/>
      </patternFill>
    </fill>
    <fill>
      <patternFill patternType="solid">
        <fgColor theme="5" tint="0.59999389629810485"/>
        <bgColor indexed="32"/>
      </patternFill>
    </fill>
    <fill>
      <patternFill patternType="solid">
        <fgColor rgb="FF366092"/>
        <bgColor indexed="64"/>
      </patternFill>
    </fill>
    <fill>
      <patternFill patternType="solid">
        <fgColor rgb="FFCCFFCC"/>
        <bgColor indexed="64"/>
      </patternFill>
    </fill>
    <fill>
      <patternFill patternType="solid">
        <fgColor rgb="FFFCD5B4"/>
        <bgColor indexed="64"/>
      </patternFill>
    </fill>
    <fill>
      <patternFill patternType="solid">
        <fgColor theme="5"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tint="0.39997558519241921"/>
        <bgColor indexed="64"/>
      </patternFill>
    </fill>
  </fills>
  <borders count="42">
    <border>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medium">
        <color theme="4" tint="-0.249977111117893"/>
      </left>
      <right style="thin">
        <color theme="4" tint="-0.249977111117893"/>
      </right>
      <top style="medium">
        <color theme="4" tint="-0.249977111117893"/>
      </top>
      <bottom style="thin">
        <color theme="4" tint="-0.249977111117893"/>
      </bottom>
      <diagonal/>
    </border>
    <border>
      <left style="thin">
        <color theme="4" tint="-0.249977111117893"/>
      </left>
      <right style="thin">
        <color theme="4" tint="-0.249977111117893"/>
      </right>
      <top style="medium">
        <color theme="4" tint="-0.249977111117893"/>
      </top>
      <bottom style="thin">
        <color theme="4" tint="-0.249977111117893"/>
      </bottom>
      <diagonal/>
    </border>
    <border>
      <left style="thin">
        <color theme="4" tint="-0.249977111117893"/>
      </left>
      <right style="medium">
        <color theme="4" tint="-0.249977111117893"/>
      </right>
      <top style="medium">
        <color theme="4" tint="-0.249977111117893"/>
      </top>
      <bottom style="thin">
        <color theme="4" tint="-0.249977111117893"/>
      </bottom>
      <diagonal/>
    </border>
    <border>
      <left style="medium">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medium">
        <color theme="4" tint="-0.249977111117893"/>
      </right>
      <top style="thin">
        <color theme="4" tint="-0.249977111117893"/>
      </top>
      <bottom style="thin">
        <color theme="4" tint="-0.249977111117893"/>
      </bottom>
      <diagonal/>
    </border>
    <border>
      <left style="medium">
        <color theme="4" tint="-0.249977111117893"/>
      </left>
      <right style="thin">
        <color theme="4" tint="-0.249977111117893"/>
      </right>
      <top style="thin">
        <color theme="4" tint="-0.249977111117893"/>
      </top>
      <bottom style="medium">
        <color theme="4" tint="-0.249977111117893"/>
      </bottom>
      <diagonal/>
    </border>
    <border>
      <left style="thin">
        <color theme="4" tint="-0.249977111117893"/>
      </left>
      <right style="thin">
        <color theme="4" tint="-0.249977111117893"/>
      </right>
      <top style="thin">
        <color theme="4" tint="-0.249977111117893"/>
      </top>
      <bottom style="medium">
        <color theme="4" tint="-0.249977111117893"/>
      </bottom>
      <diagonal/>
    </border>
    <border>
      <left style="thin">
        <color theme="4" tint="-0.249977111117893"/>
      </left>
      <right style="medium">
        <color theme="4" tint="-0.249977111117893"/>
      </right>
      <top style="thin">
        <color theme="4" tint="-0.249977111117893"/>
      </top>
      <bottom style="medium">
        <color theme="4" tint="-0.249977111117893"/>
      </bottom>
      <diagonal/>
    </border>
    <border>
      <left style="medium">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medium">
        <color theme="4" tint="-0.249977111117893"/>
      </right>
      <top/>
      <bottom style="thin">
        <color theme="4" tint="-0.249977111117893"/>
      </bottom>
      <diagonal/>
    </border>
    <border>
      <left style="medium">
        <color theme="4" tint="-0.249977111117893"/>
      </left>
      <right style="thin">
        <color theme="4" tint="-0.249977111117893"/>
      </right>
      <top style="medium">
        <color theme="4" tint="-0.249977111117893"/>
      </top>
      <bottom style="medium">
        <color theme="4" tint="-0.249977111117893"/>
      </bottom>
      <diagonal/>
    </border>
    <border>
      <left style="thin">
        <color theme="4" tint="-0.249977111117893"/>
      </left>
      <right style="thin">
        <color theme="4" tint="-0.249977111117893"/>
      </right>
      <top style="medium">
        <color theme="4" tint="-0.249977111117893"/>
      </top>
      <bottom style="medium">
        <color theme="4" tint="-0.249977111117893"/>
      </bottom>
      <diagonal/>
    </border>
    <border>
      <left style="thin">
        <color theme="4" tint="-0.249977111117893"/>
      </left>
      <right style="medium">
        <color theme="4" tint="-0.249977111117893"/>
      </right>
      <top style="medium">
        <color theme="4" tint="-0.249977111117893"/>
      </top>
      <bottom style="medium">
        <color theme="4" tint="-0.249977111117893"/>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medium">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medium">
        <color theme="4" tint="-0.24994659260841701"/>
      </right>
      <top style="medium">
        <color theme="4" tint="-0.24994659260841701"/>
      </top>
      <bottom style="thin">
        <color theme="4" tint="-0.24994659260841701"/>
      </bottom>
      <diagonal/>
    </border>
    <border>
      <left style="medium">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theme="4" tint="-0.24994659260841701"/>
      </right>
      <top style="thin">
        <color theme="4" tint="-0.24994659260841701"/>
      </top>
      <bottom style="thin">
        <color theme="4" tint="-0.24994659260841701"/>
      </bottom>
      <diagonal/>
    </border>
    <border>
      <left style="medium">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medium">
        <color theme="4" tint="-0.24994659260841701"/>
      </right>
      <top style="thin">
        <color theme="4" tint="-0.24994659260841701"/>
      </top>
      <bottom style="medium">
        <color theme="4" tint="-0.24994659260841701"/>
      </bottom>
      <diagonal/>
    </border>
    <border>
      <left style="thin">
        <color theme="4" tint="-0.24994659260841701"/>
      </left>
      <right/>
      <top style="thin">
        <color theme="4" tint="-0.24994659260841701"/>
      </top>
      <bottom style="thin">
        <color theme="4" tint="-0.24994659260841701"/>
      </bottom>
      <diagonal/>
    </border>
    <border>
      <left style="thin">
        <color theme="4" tint="-0.24994659260841701"/>
      </left>
      <right/>
      <top style="thin">
        <color theme="4" tint="-0.24994659260841701"/>
      </top>
      <bottom style="medium">
        <color theme="4" tint="-0.24994659260841701"/>
      </bottom>
      <diagonal/>
    </border>
    <border>
      <left style="medium">
        <color theme="4" tint="-0.24994659260841701"/>
      </left>
      <right style="thin">
        <color theme="4" tint="-0.24994659260841701"/>
      </right>
      <top style="medium">
        <color theme="4" tint="-0.24994659260841701"/>
      </top>
      <bottom/>
      <diagonal/>
    </border>
    <border>
      <left style="thin">
        <color theme="4" tint="-0.24994659260841701"/>
      </left>
      <right style="thin">
        <color theme="4" tint="-0.24994659260841701"/>
      </right>
      <top style="medium">
        <color theme="4" tint="-0.24994659260841701"/>
      </top>
      <bottom/>
      <diagonal/>
    </border>
    <border>
      <left style="medium">
        <color theme="4" tint="-0.24994659260841701"/>
      </left>
      <right/>
      <top style="medium">
        <color theme="4" tint="-0.24994659260841701"/>
      </top>
      <bottom style="thin">
        <color theme="4" tint="-0.24994659260841701"/>
      </bottom>
      <diagonal/>
    </border>
    <border>
      <left/>
      <right/>
      <top style="medium">
        <color theme="4" tint="-0.24994659260841701"/>
      </top>
      <bottom style="thin">
        <color theme="4" tint="-0.24994659260841701"/>
      </bottom>
      <diagonal/>
    </border>
    <border>
      <left/>
      <right style="thin">
        <color theme="4" tint="-0.24994659260841701"/>
      </right>
      <top style="medium">
        <color theme="4" tint="-0.24994659260841701"/>
      </top>
      <bottom style="thin">
        <color theme="4" tint="-0.24994659260841701"/>
      </bottom>
      <diagonal/>
    </border>
    <border>
      <left style="medium">
        <color theme="4" tint="-0.24994659260841701"/>
      </left>
      <right/>
      <top style="thin">
        <color theme="4" tint="-0.24994659260841701"/>
      </top>
      <bottom style="thin">
        <color theme="4" tint="-0.24994659260841701"/>
      </bottom>
      <diagonal/>
    </border>
    <border>
      <left/>
      <right/>
      <top style="thin">
        <color theme="4" tint="-0.24994659260841701"/>
      </top>
      <bottom style="thin">
        <color theme="4" tint="-0.24994659260841701"/>
      </bottom>
      <diagonal/>
    </border>
    <border>
      <left/>
      <right style="medium">
        <color theme="4" tint="-0.24994659260841701"/>
      </right>
      <top style="thin">
        <color theme="4" tint="-0.24994659260841701"/>
      </top>
      <bottom style="thin">
        <color theme="4" tint="-0.24994659260841701"/>
      </bottom>
      <diagonal/>
    </border>
    <border>
      <left style="thin">
        <color theme="4" tint="-0.24994659260841701"/>
      </left>
      <right/>
      <top style="medium">
        <color theme="4" tint="-0.24994659260841701"/>
      </top>
      <bottom style="thin">
        <color theme="4" tint="-0.24994659260841701"/>
      </bottom>
      <diagonal/>
    </border>
    <border>
      <left/>
      <right style="thin">
        <color theme="0" tint="-0.14999847407452621"/>
      </right>
      <top/>
      <bottom/>
      <diagonal/>
    </border>
    <border>
      <left style="medium">
        <color theme="4" tint="-0.24994659260841701"/>
      </left>
      <right style="thin">
        <color theme="0" tint="-0.14999847407452621"/>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style="thin">
        <color theme="4" tint="-0.249977111117893"/>
      </left>
      <right style="thin">
        <color theme="4" tint="-0.249977111117893"/>
      </right>
      <top/>
      <bottom/>
      <diagonal/>
    </border>
  </borders>
  <cellStyleXfs count="6">
    <xf numFmtId="0" fontId="0" fillId="0" borderId="0"/>
    <xf numFmtId="164" fontId="3" fillId="0" borderId="0" applyNumberFormat="0" applyFill="0" applyBorder="0" applyAlignment="0" applyProtection="0"/>
    <xf numFmtId="164" fontId="1" fillId="0" borderId="0"/>
    <xf numFmtId="164" fontId="5" fillId="0" borderId="0"/>
    <xf numFmtId="164" fontId="5" fillId="0" borderId="0" applyFont="0"/>
    <xf numFmtId="164" fontId="11" fillId="0" borderId="0"/>
  </cellStyleXfs>
  <cellXfs count="131">
    <xf numFmtId="0" fontId="0" fillId="0" borderId="0" xfId="0"/>
    <xf numFmtId="0" fontId="10" fillId="5" borderId="1" xfId="1" applyNumberFormat="1" applyFont="1" applyFill="1" applyBorder="1" applyAlignment="1">
      <alignment horizontal="left" vertical="top" wrapText="1"/>
    </xf>
    <xf numFmtId="0" fontId="10" fillId="5" borderId="1" xfId="1" applyNumberFormat="1" applyFont="1" applyFill="1" applyBorder="1" applyAlignment="1">
      <alignment horizontal="left" vertical="top" wrapText="1"/>
    </xf>
    <xf numFmtId="0" fontId="4" fillId="2" borderId="0" xfId="2" applyNumberFormat="1" applyFont="1" applyFill="1" applyAlignment="1">
      <alignment vertical="center"/>
    </xf>
    <xf numFmtId="164" fontId="4" fillId="2" borderId="0" xfId="2" applyFont="1" applyFill="1" applyAlignment="1">
      <alignment vertical="center"/>
    </xf>
    <xf numFmtId="164" fontId="4" fillId="2" borderId="0" xfId="2" applyFont="1" applyFill="1" applyAlignment="1">
      <alignment horizontal="left" vertical="top"/>
    </xf>
    <xf numFmtId="0" fontId="7" fillId="3" borderId="0" xfId="4" applyNumberFormat="1" applyFont="1" applyFill="1" applyAlignment="1">
      <alignment horizontal="left"/>
    </xf>
    <xf numFmtId="164" fontId="8" fillId="4" borderId="0" xfId="4" applyFont="1" applyFill="1"/>
    <xf numFmtId="164" fontId="9" fillId="4" borderId="0" xfId="2" applyFont="1" applyFill="1"/>
    <xf numFmtId="164" fontId="9" fillId="4" borderId="0" xfId="2" applyFont="1" applyFill="1" applyAlignment="1">
      <alignment horizontal="left" vertical="top"/>
    </xf>
    <xf numFmtId="164" fontId="10" fillId="2" borderId="0" xfId="5" applyFont="1" applyFill="1" applyAlignment="1">
      <alignment horizontal="left" vertical="center" indent="1"/>
    </xf>
    <xf numFmtId="164" fontId="9" fillId="2" borderId="0" xfId="5" applyFont="1" applyFill="1" applyAlignment="1">
      <alignment horizontal="center" vertical="center"/>
    </xf>
    <xf numFmtId="164" fontId="7" fillId="3" borderId="0" xfId="4" applyFont="1" applyFill="1" applyAlignment="1">
      <alignment horizontal="left"/>
    </xf>
    <xf numFmtId="0" fontId="10" fillId="5" borderId="1" xfId="1" applyNumberFormat="1" applyFont="1" applyFill="1" applyBorder="1" applyAlignment="1">
      <alignment horizontal="center" vertical="top"/>
    </xf>
    <xf numFmtId="0" fontId="9" fillId="2" borderId="1" xfId="5" applyNumberFormat="1" applyFont="1" applyFill="1" applyBorder="1" applyAlignment="1">
      <alignment horizontal="center" vertical="center"/>
    </xf>
    <xf numFmtId="0" fontId="13" fillId="6" borderId="1" xfId="3" applyNumberFormat="1" applyFont="1" applyFill="1" applyBorder="1" applyAlignment="1">
      <alignment horizontal="left" vertical="top" wrapText="1"/>
    </xf>
    <xf numFmtId="0" fontId="14" fillId="5" borderId="1" xfId="1" applyNumberFormat="1" applyFont="1" applyFill="1" applyBorder="1" applyAlignment="1">
      <alignment horizontal="left" vertical="top"/>
    </xf>
    <xf numFmtId="0" fontId="8" fillId="4" borderId="1" xfId="2" applyNumberFormat="1" applyFont="1" applyFill="1" applyBorder="1" applyAlignment="1">
      <alignment horizontal="left" vertical="top" wrapText="1"/>
    </xf>
    <xf numFmtId="0" fontId="6" fillId="8" borderId="2" xfId="3" applyNumberFormat="1" applyFont="1" applyFill="1" applyBorder="1" applyAlignment="1">
      <alignment horizontal="center" vertical="center" wrapText="1"/>
    </xf>
    <xf numFmtId="0" fontId="6" fillId="8" borderId="3" xfId="3" applyNumberFormat="1" applyFont="1" applyFill="1" applyBorder="1" applyAlignment="1">
      <alignment horizontal="center" vertical="center" wrapText="1"/>
    </xf>
    <xf numFmtId="0" fontId="6" fillId="8" borderId="4" xfId="3" applyNumberFormat="1" applyFont="1" applyFill="1" applyBorder="1" applyAlignment="1">
      <alignment horizontal="center" vertical="center" wrapText="1"/>
    </xf>
    <xf numFmtId="0" fontId="10" fillId="5" borderId="5" xfId="1" applyNumberFormat="1" applyFont="1" applyFill="1" applyBorder="1" applyAlignment="1">
      <alignment horizontal="left" vertical="top"/>
    </xf>
    <xf numFmtId="0" fontId="10" fillId="5" borderId="6" xfId="1" applyNumberFormat="1" applyFont="1" applyFill="1" applyBorder="1" applyAlignment="1">
      <alignment horizontal="center" vertical="top"/>
    </xf>
    <xf numFmtId="0" fontId="10" fillId="2" borderId="5" xfId="5" applyNumberFormat="1" applyFont="1" applyFill="1" applyBorder="1" applyAlignment="1">
      <alignment horizontal="left" vertical="center" indent="1"/>
    </xf>
    <xf numFmtId="0" fontId="9" fillId="2" borderId="6" xfId="5" applyNumberFormat="1" applyFont="1" applyFill="1" applyBorder="1" applyAlignment="1">
      <alignment horizontal="center" vertical="center"/>
    </xf>
    <xf numFmtId="0" fontId="10" fillId="2" borderId="7" xfId="5" applyNumberFormat="1" applyFont="1" applyFill="1" applyBorder="1" applyAlignment="1">
      <alignment horizontal="left" vertical="center" indent="1"/>
    </xf>
    <xf numFmtId="0" fontId="9" fillId="2" borderId="8" xfId="5" applyNumberFormat="1" applyFont="1" applyFill="1" applyBorder="1" applyAlignment="1">
      <alignment horizontal="center" vertical="center"/>
    </xf>
    <xf numFmtId="0" fontId="9" fillId="2" borderId="9" xfId="5" applyNumberFormat="1" applyFont="1" applyFill="1" applyBorder="1" applyAlignment="1">
      <alignment horizontal="center" vertical="center"/>
    </xf>
    <xf numFmtId="0" fontId="13" fillId="6" borderId="5" xfId="3" applyNumberFormat="1" applyFont="1" applyFill="1" applyBorder="1" applyAlignment="1">
      <alignment horizontal="left" vertical="top"/>
    </xf>
    <xf numFmtId="0" fontId="13" fillId="6" borderId="6" xfId="3" applyNumberFormat="1" applyFont="1" applyFill="1" applyBorder="1" applyAlignment="1">
      <alignment horizontal="left" vertical="top" wrapText="1"/>
    </xf>
    <xf numFmtId="0" fontId="10" fillId="5" borderId="6" xfId="1" applyNumberFormat="1" applyFont="1" applyFill="1" applyBorder="1" applyAlignment="1">
      <alignment horizontal="left" vertical="top" wrapText="1"/>
    </xf>
    <xf numFmtId="0" fontId="8" fillId="4" borderId="5" xfId="2" applyNumberFormat="1" applyFont="1" applyFill="1" applyBorder="1" applyAlignment="1">
      <alignment horizontal="left" vertical="top"/>
    </xf>
    <xf numFmtId="0" fontId="8" fillId="4" borderId="6" xfId="2" applyNumberFormat="1" applyFont="1" applyFill="1" applyBorder="1" applyAlignment="1">
      <alignment horizontal="left" vertical="top" wrapText="1"/>
    </xf>
    <xf numFmtId="0" fontId="8" fillId="4" borderId="7" xfId="2" applyNumberFormat="1" applyFont="1" applyFill="1" applyBorder="1" applyAlignment="1">
      <alignment horizontal="left" vertical="top"/>
    </xf>
    <xf numFmtId="0" fontId="8" fillId="4" borderId="8" xfId="2" applyNumberFormat="1" applyFont="1" applyFill="1" applyBorder="1" applyAlignment="1">
      <alignment horizontal="left" vertical="top"/>
    </xf>
    <xf numFmtId="0" fontId="8" fillId="4" borderId="8" xfId="2" applyNumberFormat="1" applyFont="1" applyFill="1" applyBorder="1" applyAlignment="1">
      <alignment horizontal="left" vertical="top" wrapText="1"/>
    </xf>
    <xf numFmtId="0" fontId="8" fillId="7" borderId="8" xfId="2" applyNumberFormat="1" applyFont="1" applyFill="1" applyBorder="1" applyAlignment="1">
      <alignment horizontal="left" vertical="top" wrapText="1"/>
    </xf>
    <xf numFmtId="0" fontId="8" fillId="4" borderId="9" xfId="2" applyNumberFormat="1" applyFont="1" applyFill="1" applyBorder="1" applyAlignment="1">
      <alignment horizontal="left" vertical="top"/>
    </xf>
    <xf numFmtId="0" fontId="13" fillId="8" borderId="10" xfId="3" applyNumberFormat="1" applyFont="1" applyFill="1" applyBorder="1" applyAlignment="1">
      <alignment horizontal="left" vertical="top" wrapText="1"/>
    </xf>
    <xf numFmtId="0" fontId="13" fillId="8" borderId="11" xfId="3" applyNumberFormat="1" applyFont="1" applyFill="1" applyBorder="1" applyAlignment="1">
      <alignment horizontal="left" vertical="top" wrapText="1"/>
    </xf>
    <xf numFmtId="0" fontId="13" fillId="8" borderId="11" xfId="3" applyNumberFormat="1" applyFont="1" applyFill="1" applyBorder="1" applyAlignment="1">
      <alignment horizontal="left" vertical="top"/>
    </xf>
    <xf numFmtId="0" fontId="13" fillId="8" borderId="12" xfId="3" applyNumberFormat="1" applyFont="1" applyFill="1" applyBorder="1" applyAlignment="1">
      <alignment horizontal="left" vertical="top" wrapText="1"/>
    </xf>
    <xf numFmtId="0" fontId="12" fillId="8" borderId="13" xfId="3" applyNumberFormat="1" applyFont="1" applyFill="1" applyBorder="1" applyAlignment="1">
      <alignment horizontal="left" vertical="top" wrapText="1"/>
    </xf>
    <xf numFmtId="0" fontId="12" fillId="8" borderId="14" xfId="3" applyNumberFormat="1" applyFont="1" applyFill="1" applyBorder="1" applyAlignment="1">
      <alignment horizontal="left" vertical="top" wrapText="1"/>
    </xf>
    <xf numFmtId="0" fontId="12" fillId="8" borderId="15" xfId="3" applyNumberFormat="1" applyFont="1" applyFill="1" applyBorder="1" applyAlignment="1">
      <alignment horizontal="left" vertical="top" wrapText="1"/>
    </xf>
    <xf numFmtId="0" fontId="10" fillId="9" borderId="5" xfId="1" applyNumberFormat="1" applyFont="1" applyFill="1" applyBorder="1" applyAlignment="1">
      <alignment horizontal="left" vertical="top"/>
    </xf>
    <xf numFmtId="0" fontId="10" fillId="9" borderId="1" xfId="1" applyNumberFormat="1" applyFont="1" applyFill="1" applyBorder="1" applyAlignment="1">
      <alignment horizontal="center" vertical="top"/>
    </xf>
    <xf numFmtId="0" fontId="10" fillId="9" borderId="6" xfId="1" applyNumberFormat="1" applyFont="1" applyFill="1" applyBorder="1" applyAlignment="1">
      <alignment horizontal="center" vertical="center"/>
    </xf>
    <xf numFmtId="0" fontId="15" fillId="0" borderId="0" xfId="0" applyFont="1"/>
    <xf numFmtId="0" fontId="16" fillId="0" borderId="0" xfId="0" applyFont="1"/>
    <xf numFmtId="0" fontId="9" fillId="0" borderId="16" xfId="0" applyFont="1" applyBorder="1"/>
    <xf numFmtId="0" fontId="9" fillId="0" borderId="21" xfId="0" applyFont="1" applyBorder="1"/>
    <xf numFmtId="0" fontId="9" fillId="0" borderId="23" xfId="0" applyFont="1" applyBorder="1"/>
    <xf numFmtId="0" fontId="9" fillId="0" borderId="24" xfId="0" applyFont="1" applyBorder="1"/>
    <xf numFmtId="0" fontId="10" fillId="0" borderId="20" xfId="0" applyFont="1" applyBorder="1"/>
    <xf numFmtId="0" fontId="10" fillId="0" borderId="22" xfId="0" applyFont="1" applyBorder="1"/>
    <xf numFmtId="0" fontId="12" fillId="10" borderId="17" xfId="0" applyFont="1" applyFill="1" applyBorder="1"/>
    <xf numFmtId="0" fontId="12" fillId="10" borderId="18" xfId="0" applyFont="1" applyFill="1" applyBorder="1"/>
    <xf numFmtId="0" fontId="12" fillId="10" borderId="19" xfId="0" applyFont="1" applyFill="1" applyBorder="1"/>
    <xf numFmtId="0" fontId="10" fillId="11" borderId="20" xfId="0" applyFont="1" applyFill="1" applyBorder="1"/>
    <xf numFmtId="0" fontId="10" fillId="12" borderId="20" xfId="0" applyFont="1" applyFill="1" applyBorder="1"/>
    <xf numFmtId="0" fontId="9" fillId="0" borderId="25" xfId="0" applyFont="1" applyBorder="1"/>
    <xf numFmtId="0" fontId="9" fillId="0" borderId="26" xfId="0" applyFont="1" applyBorder="1"/>
    <xf numFmtId="0" fontId="9" fillId="11" borderId="16" xfId="0" applyFont="1" applyFill="1" applyBorder="1"/>
    <xf numFmtId="0" fontId="9" fillId="11" borderId="21" xfId="0" applyFont="1" applyFill="1" applyBorder="1"/>
    <xf numFmtId="0" fontId="9" fillId="12" borderId="16" xfId="0" applyFont="1" applyFill="1" applyBorder="1"/>
    <xf numFmtId="0" fontId="9" fillId="12" borderId="25" xfId="0" applyFont="1" applyFill="1" applyBorder="1"/>
    <xf numFmtId="0" fontId="9" fillId="12" borderId="21" xfId="0" applyFont="1" applyFill="1" applyBorder="1"/>
    <xf numFmtId="0" fontId="12" fillId="10" borderId="18" xfId="0" applyFont="1" applyFill="1" applyBorder="1" applyAlignment="1">
      <alignment vertical="top" wrapText="1"/>
    </xf>
    <xf numFmtId="0" fontId="12" fillId="10" borderId="19" xfId="0" applyFont="1" applyFill="1" applyBorder="1" applyAlignment="1">
      <alignment vertical="top" wrapText="1"/>
    </xf>
    <xf numFmtId="0" fontId="0" fillId="0" borderId="20" xfId="0" applyBorder="1"/>
    <xf numFmtId="0" fontId="0" fillId="0" borderId="16" xfId="0" applyBorder="1"/>
    <xf numFmtId="0" fontId="0" fillId="0" borderId="21" xfId="0" applyBorder="1"/>
    <xf numFmtId="0" fontId="0" fillId="0" borderId="22" xfId="0" applyBorder="1"/>
    <xf numFmtId="0" fontId="0" fillId="0" borderId="23" xfId="0" applyBorder="1"/>
    <xf numFmtId="0" fontId="0" fillId="0" borderId="24" xfId="0" applyBorder="1"/>
    <xf numFmtId="0" fontId="12" fillId="10" borderId="27" xfId="0" applyFont="1" applyFill="1" applyBorder="1" applyAlignment="1">
      <alignment vertical="top" wrapText="1"/>
    </xf>
    <xf numFmtId="0" fontId="12" fillId="10" borderId="28" xfId="0" applyFont="1" applyFill="1" applyBorder="1" applyAlignment="1">
      <alignment vertical="top" wrapText="1"/>
    </xf>
    <xf numFmtId="0" fontId="16" fillId="11" borderId="29" xfId="0" applyFont="1" applyFill="1" applyBorder="1" applyAlignment="1">
      <alignment vertical="top" wrapText="1"/>
    </xf>
    <xf numFmtId="0" fontId="16" fillId="11" borderId="30" xfId="0" applyFont="1" applyFill="1" applyBorder="1" applyAlignment="1">
      <alignment vertical="top" wrapText="1"/>
    </xf>
    <xf numFmtId="0" fontId="17" fillId="11" borderId="30" xfId="0" applyFont="1" applyFill="1" applyBorder="1" applyAlignment="1">
      <alignment vertical="top" wrapText="1"/>
    </xf>
    <xf numFmtId="0" fontId="16" fillId="11" borderId="31" xfId="0" applyFont="1" applyFill="1" applyBorder="1" applyAlignment="1">
      <alignment vertical="top" wrapText="1"/>
    </xf>
    <xf numFmtId="0" fontId="16" fillId="11" borderId="16" xfId="0" applyFont="1" applyFill="1" applyBorder="1" applyAlignment="1">
      <alignment vertical="top" wrapText="1"/>
    </xf>
    <xf numFmtId="0" fontId="16" fillId="11" borderId="21" xfId="0" applyFont="1" applyFill="1" applyBorder="1"/>
    <xf numFmtId="0" fontId="17" fillId="13" borderId="32" xfId="0" applyFont="1" applyFill="1" applyBorder="1" applyAlignment="1">
      <alignment vertical="top" wrapText="1"/>
    </xf>
    <xf numFmtId="0" fontId="17" fillId="13" borderId="33" xfId="0" applyFont="1" applyFill="1" applyBorder="1" applyAlignment="1">
      <alignment vertical="top" wrapText="1"/>
    </xf>
    <xf numFmtId="0" fontId="17" fillId="13" borderId="34" xfId="0" applyFont="1" applyFill="1" applyBorder="1"/>
    <xf numFmtId="0" fontId="18" fillId="0" borderId="0" xfId="0" applyFont="1"/>
    <xf numFmtId="0" fontId="2" fillId="10" borderId="17" xfId="0" applyFont="1" applyFill="1" applyBorder="1"/>
    <xf numFmtId="0" fontId="2" fillId="10" borderId="18" xfId="0" applyFont="1" applyFill="1" applyBorder="1"/>
    <xf numFmtId="0" fontId="2" fillId="10" borderId="19" xfId="0" applyFont="1" applyFill="1" applyBorder="1"/>
    <xf numFmtId="0" fontId="3" fillId="11" borderId="20" xfId="0" applyFont="1" applyFill="1" applyBorder="1"/>
    <xf numFmtId="0" fontId="3" fillId="11" borderId="16" xfId="0" applyFont="1" applyFill="1" applyBorder="1"/>
    <xf numFmtId="0" fontId="3" fillId="11" borderId="21" xfId="0" applyFont="1" applyFill="1" applyBorder="1"/>
    <xf numFmtId="0" fontId="9" fillId="0" borderId="16" xfId="0" applyFont="1" applyBorder="1" applyAlignment="1">
      <alignment vertical="top" wrapText="1"/>
    </xf>
    <xf numFmtId="0" fontId="12" fillId="10" borderId="35" xfId="0" applyFont="1" applyFill="1" applyBorder="1"/>
    <xf numFmtId="0" fontId="16" fillId="0" borderId="36" xfId="0" applyFont="1" applyBorder="1"/>
    <xf numFmtId="0" fontId="9" fillId="4" borderId="37" xfId="0" applyFont="1" applyFill="1" applyBorder="1"/>
    <xf numFmtId="0" fontId="16" fillId="0" borderId="39" xfId="0" applyFont="1" applyBorder="1"/>
    <xf numFmtId="0" fontId="0" fillId="0" borderId="38" xfId="0" applyBorder="1"/>
    <xf numFmtId="0" fontId="16" fillId="0" borderId="40" xfId="0" applyFont="1" applyBorder="1"/>
    <xf numFmtId="0" fontId="9" fillId="15" borderId="16" xfId="0" applyFont="1" applyFill="1" applyBorder="1" applyAlignment="1">
      <alignment vertical="top" wrapText="1"/>
    </xf>
    <xf numFmtId="0" fontId="3" fillId="15" borderId="0" xfId="0" applyFont="1" applyFill="1" applyAlignment="1">
      <alignment vertical="top" wrapText="1"/>
    </xf>
    <xf numFmtId="0" fontId="0" fillId="0" borderId="0" xfId="0" applyAlignment="1">
      <alignment vertical="top" wrapText="1"/>
    </xf>
    <xf numFmtId="0" fontId="0" fillId="16" borderId="0" xfId="0" applyFill="1" applyAlignment="1">
      <alignment vertical="top" wrapText="1"/>
    </xf>
    <xf numFmtId="165" fontId="0" fillId="0" borderId="0" xfId="0" applyNumberFormat="1" applyAlignment="1">
      <alignment vertical="top" wrapText="1"/>
    </xf>
    <xf numFmtId="165" fontId="0" fillId="16" borderId="0" xfId="0" applyNumberFormat="1" applyFill="1" applyAlignment="1">
      <alignment vertical="top" wrapText="1"/>
    </xf>
    <xf numFmtId="0" fontId="0" fillId="16" borderId="0" xfId="0" quotePrefix="1" applyFill="1" applyAlignment="1">
      <alignment vertical="top" wrapText="1"/>
    </xf>
    <xf numFmtId="0" fontId="0" fillId="0" borderId="0" xfId="0" applyAlignment="1">
      <alignment wrapText="1"/>
    </xf>
    <xf numFmtId="0" fontId="0" fillId="14" borderId="0" xfId="0" applyFill="1" applyAlignment="1">
      <alignment wrapText="1"/>
    </xf>
    <xf numFmtId="0" fontId="0" fillId="17" borderId="0" xfId="0" applyFill="1" applyAlignment="1">
      <alignment wrapText="1"/>
    </xf>
    <xf numFmtId="0" fontId="9" fillId="0" borderId="20" xfId="0" applyFont="1" applyBorder="1" applyAlignment="1">
      <alignment vertical="top" wrapText="1"/>
    </xf>
    <xf numFmtId="0" fontId="3" fillId="17" borderId="1" xfId="0" applyFont="1" applyFill="1" applyBorder="1" applyAlignment="1">
      <alignment vertical="top" wrapText="1"/>
    </xf>
    <xf numFmtId="0" fontId="3" fillId="15" borderId="1" xfId="0" applyFont="1" applyFill="1" applyBorder="1" applyAlignment="1">
      <alignment vertical="top" wrapText="1"/>
    </xf>
    <xf numFmtId="0" fontId="0" fillId="0" borderId="1" xfId="0" applyBorder="1" applyAlignment="1">
      <alignment vertical="top" wrapText="1"/>
    </xf>
    <xf numFmtId="165" fontId="0" fillId="0" borderId="1" xfId="0" applyNumberFormat="1" applyBorder="1" applyAlignment="1">
      <alignment vertical="top" wrapText="1"/>
    </xf>
    <xf numFmtId="165" fontId="3" fillId="16" borderId="1" xfId="0" applyNumberFormat="1" applyFont="1" applyFill="1" applyBorder="1" applyAlignment="1">
      <alignment vertical="top" wrapText="1"/>
    </xf>
    <xf numFmtId="0" fontId="0" fillId="16" borderId="1" xfId="0" applyFill="1" applyBorder="1" applyAlignment="1">
      <alignment vertical="top" wrapText="1"/>
    </xf>
    <xf numFmtId="165" fontId="0" fillId="16" borderId="1" xfId="0" applyNumberFormat="1" applyFill="1" applyBorder="1" applyAlignment="1">
      <alignment vertical="top" wrapText="1"/>
    </xf>
    <xf numFmtId="0" fontId="0" fillId="16" borderId="1" xfId="0" quotePrefix="1" applyFill="1" applyBorder="1" applyAlignment="1">
      <alignment vertical="top" wrapText="1"/>
    </xf>
    <xf numFmtId="0" fontId="0" fillId="0" borderId="1" xfId="0" applyBorder="1" applyAlignment="1">
      <alignment wrapText="1"/>
    </xf>
    <xf numFmtId="0" fontId="0" fillId="17" borderId="1" xfId="0" applyFill="1" applyBorder="1" applyAlignment="1">
      <alignment wrapText="1"/>
    </xf>
    <xf numFmtId="0" fontId="9" fillId="0" borderId="1" xfId="0" applyFont="1" applyBorder="1" applyAlignment="1">
      <alignment vertical="top" wrapText="1"/>
    </xf>
    <xf numFmtId="0" fontId="0" fillId="0" borderId="41" xfId="0" applyBorder="1" applyAlignment="1">
      <alignment vertical="top" wrapText="1"/>
    </xf>
    <xf numFmtId="0" fontId="3" fillId="15" borderId="41" xfId="0" applyFont="1" applyFill="1" applyBorder="1" applyAlignment="1">
      <alignment vertical="top" wrapText="1"/>
    </xf>
    <xf numFmtId="0" fontId="0" fillId="14" borderId="1" xfId="0" applyFill="1" applyBorder="1" applyAlignment="1">
      <alignment wrapText="1"/>
    </xf>
    <xf numFmtId="0" fontId="0" fillId="14" borderId="1" xfId="0" applyFill="1" applyBorder="1" applyAlignment="1">
      <alignment vertical="top" wrapText="1"/>
    </xf>
    <xf numFmtId="0" fontId="9" fillId="18" borderId="16" xfId="0" applyFont="1" applyFill="1" applyBorder="1" applyAlignment="1">
      <alignment vertical="top" wrapText="1"/>
    </xf>
    <xf numFmtId="0" fontId="8" fillId="4" borderId="1" xfId="2" applyNumberFormat="1" applyFont="1" applyFill="1" applyBorder="1" applyAlignment="1">
      <alignment horizontal="left" vertical="top" wrapText="1"/>
    </xf>
    <xf numFmtId="0" fontId="9" fillId="14" borderId="16" xfId="0" applyFont="1" applyFill="1" applyBorder="1" applyAlignment="1">
      <alignment vertical="top" wrapText="1"/>
    </xf>
    <xf numFmtId="0" fontId="9" fillId="16" borderId="16" xfId="0" applyFont="1" applyFill="1" applyBorder="1" applyAlignment="1">
      <alignment vertical="top" wrapText="1"/>
    </xf>
  </cellXfs>
  <cellStyles count="6">
    <cellStyle name="Normal" xfId="0" builtinId="0"/>
    <cellStyle name="Normal 3 3" xfId="2" xr:uid="{18C190E7-641F-4E86-BEA3-DCC376B84EEB}"/>
    <cellStyle name="Normal 6" xfId="4" xr:uid="{2E881FAA-CFD6-46FB-BB55-5B294F5D948C}"/>
    <cellStyle name="Normal_Sheet1" xfId="3" xr:uid="{B1A271F0-DC4C-4CBD-905F-DDB7C59FF641}"/>
    <cellStyle name="RowLevel_1" xfId="1" builtinId="1" iLevel="0"/>
    <cellStyle name="標準_打刻ﾃﾞｰﾀ収集" xfId="5" xr:uid="{AC5780E6-9818-4E61-B7E4-ACDB21405691}"/>
  </cellStyles>
  <dxfs count="1">
    <dxf>
      <font>
        <color rgb="FF9C0006"/>
      </font>
      <fill>
        <patternFill>
          <bgColor rgb="FFFFC7CE"/>
        </patternFill>
      </fill>
    </dxf>
  </dxfs>
  <tableStyles count="0" defaultTableStyle="TableStyleMedium2" defaultPivotStyle="PivotStyleLight16"/>
  <colors>
    <mruColors>
      <color rgb="FFCCFFCC"/>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684E3-59D9-4362-B574-FEEFB74B421F}">
  <dimension ref="A1:F15"/>
  <sheetViews>
    <sheetView zoomScaleNormal="100" workbookViewId="0">
      <selection activeCell="C6" sqref="C6:E6"/>
    </sheetView>
  </sheetViews>
  <sheetFormatPr defaultRowHeight="15"/>
  <cols>
    <col min="1" max="1" width="13.28515625" customWidth="1"/>
    <col min="2" max="2" width="18.85546875" bestFit="1" customWidth="1"/>
    <col min="3" max="3" width="22.28515625" bestFit="1" customWidth="1"/>
    <col min="4" max="4" width="22.140625" customWidth="1"/>
    <col min="5" max="5" width="16.85546875" bestFit="1" customWidth="1"/>
    <col min="6" max="6" width="8.5703125" bestFit="1" customWidth="1"/>
  </cols>
  <sheetData>
    <row r="1" spans="1:6" ht="18">
      <c r="A1" s="87" t="s">
        <v>37</v>
      </c>
    </row>
    <row r="2" spans="1:6" ht="15.75" thickBot="1"/>
    <row r="3" spans="1:6">
      <c r="A3" s="88" t="s">
        <v>38</v>
      </c>
      <c r="B3" s="89" t="s">
        <v>39</v>
      </c>
      <c r="C3" s="89" t="s">
        <v>40</v>
      </c>
      <c r="D3" s="89" t="s">
        <v>41</v>
      </c>
      <c r="E3" s="89" t="s">
        <v>42</v>
      </c>
      <c r="F3" s="90" t="s">
        <v>23</v>
      </c>
    </row>
    <row r="4" spans="1:6">
      <c r="A4" s="91"/>
      <c r="B4" s="92" t="s">
        <v>43</v>
      </c>
      <c r="C4" s="92"/>
      <c r="D4" s="92"/>
      <c r="E4" s="92"/>
      <c r="F4" s="93"/>
    </row>
    <row r="5" spans="1:6">
      <c r="A5" s="70" t="s">
        <v>26</v>
      </c>
      <c r="B5" s="71" t="s">
        <v>44</v>
      </c>
      <c r="C5" s="71" t="s">
        <v>46</v>
      </c>
      <c r="D5" s="71" t="s">
        <v>45</v>
      </c>
      <c r="E5" s="71">
        <f>COUNTIF(Sheet1!A$11:A435,A5)</f>
        <v>40</v>
      </c>
      <c r="F5" s="72"/>
    </row>
    <row r="6" spans="1:6">
      <c r="A6" s="70" t="s">
        <v>26</v>
      </c>
      <c r="B6" s="71" t="s">
        <v>244</v>
      </c>
      <c r="C6" s="71" t="s">
        <v>46</v>
      </c>
      <c r="D6" s="71" t="s">
        <v>45</v>
      </c>
      <c r="E6" s="71">
        <f>COUNTIF(Sheet1!A$11:A436,A6)</f>
        <v>40</v>
      </c>
      <c r="F6" s="72"/>
    </row>
    <row r="7" spans="1:6">
      <c r="A7" s="70"/>
      <c r="B7" s="71"/>
      <c r="C7" s="71"/>
      <c r="D7" s="71"/>
      <c r="E7" s="71"/>
      <c r="F7" s="72"/>
    </row>
    <row r="8" spans="1:6">
      <c r="A8" s="70"/>
      <c r="B8" s="71"/>
      <c r="C8" s="71"/>
      <c r="D8" s="71"/>
      <c r="E8" s="71"/>
      <c r="F8" s="72"/>
    </row>
    <row r="9" spans="1:6">
      <c r="A9" s="70"/>
      <c r="B9" s="71"/>
      <c r="C9" s="71"/>
      <c r="D9" s="71"/>
      <c r="E9" s="71"/>
      <c r="F9" s="72"/>
    </row>
    <row r="10" spans="1:6">
      <c r="A10" s="70"/>
      <c r="B10" s="71"/>
      <c r="C10" s="71"/>
      <c r="D10" s="71"/>
      <c r="E10" s="71"/>
      <c r="F10" s="72"/>
    </row>
    <row r="11" spans="1:6">
      <c r="A11" s="70"/>
      <c r="B11" s="71"/>
      <c r="C11" s="71"/>
      <c r="D11" s="71"/>
      <c r="E11" s="71"/>
      <c r="F11" s="72"/>
    </row>
    <row r="12" spans="1:6">
      <c r="A12" s="70"/>
      <c r="B12" s="71"/>
      <c r="C12" s="71"/>
      <c r="D12" s="71"/>
      <c r="E12" s="71"/>
      <c r="F12" s="72"/>
    </row>
    <row r="13" spans="1:6">
      <c r="A13" s="70"/>
      <c r="B13" s="71"/>
      <c r="C13" s="71"/>
      <c r="D13" s="71"/>
      <c r="E13" s="71"/>
      <c r="F13" s="72"/>
    </row>
    <row r="14" spans="1:6">
      <c r="A14" s="70"/>
      <c r="B14" s="71"/>
      <c r="C14" s="71"/>
      <c r="D14" s="71"/>
      <c r="E14" s="71"/>
      <c r="F14" s="72"/>
    </row>
    <row r="15" spans="1:6" ht="15.75" thickBot="1">
      <c r="A15" s="73"/>
      <c r="B15" s="74"/>
      <c r="C15" s="74"/>
      <c r="D15" s="74"/>
      <c r="E15" s="74"/>
      <c r="F15" s="7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0"/>
  <sheetViews>
    <sheetView topLeftCell="B62" zoomScale="115" zoomScaleNormal="115" workbookViewId="0">
      <selection activeCell="C70" sqref="C70"/>
    </sheetView>
  </sheetViews>
  <sheetFormatPr defaultRowHeight="15" outlineLevelRow="1"/>
  <cols>
    <col min="1" max="1" width="17.140625" bestFit="1" customWidth="1"/>
    <col min="2" max="2" width="16.140625" customWidth="1"/>
    <col min="3" max="3" width="38.85546875" customWidth="1"/>
    <col min="4" max="4" width="9.7109375" bestFit="1" customWidth="1"/>
    <col min="5" max="5" width="10.140625" customWidth="1"/>
    <col min="6" max="6" width="9.42578125" bestFit="1" customWidth="1"/>
    <col min="7" max="7" width="14.85546875" customWidth="1"/>
    <col min="8" max="8" width="27.7109375" customWidth="1"/>
    <col min="9" max="9" width="10.85546875" customWidth="1"/>
    <col min="10" max="10" width="12.7109375" customWidth="1"/>
    <col min="11" max="11" width="26.5703125" customWidth="1"/>
    <col min="12" max="12" width="16.5703125" customWidth="1"/>
    <col min="13" max="13" width="22.7109375" customWidth="1"/>
    <col min="14" max="14" width="19" customWidth="1"/>
    <col min="15" max="15" width="10" bestFit="1" customWidth="1"/>
    <col min="16" max="16" width="14.85546875" bestFit="1" customWidth="1"/>
    <col min="17" max="17" width="11.7109375" customWidth="1"/>
    <col min="18" max="18" width="13" customWidth="1"/>
    <col min="19" max="19" width="15.42578125" customWidth="1"/>
    <col min="20" max="20" width="22.85546875" customWidth="1"/>
  </cols>
  <sheetData>
    <row r="1" spans="1:21" ht="18.75" thickBot="1">
      <c r="A1" s="87" t="s">
        <v>1</v>
      </c>
      <c r="B1" s="48"/>
      <c r="C1" s="48"/>
      <c r="D1" s="48"/>
      <c r="E1" s="99"/>
    </row>
    <row r="2" spans="1:21">
      <c r="A2" s="56"/>
      <c r="B2" s="57" t="s">
        <v>2</v>
      </c>
      <c r="C2" s="58" t="s">
        <v>3</v>
      </c>
      <c r="D2" s="95" t="s">
        <v>36</v>
      </c>
      <c r="E2" s="98"/>
      <c r="F2" s="49"/>
      <c r="G2" s="49"/>
      <c r="H2" s="49"/>
      <c r="I2" s="49"/>
      <c r="J2" s="49"/>
      <c r="K2" s="49"/>
      <c r="L2" s="49"/>
      <c r="M2" s="49"/>
      <c r="N2" s="49"/>
      <c r="O2" s="49"/>
      <c r="P2" s="49"/>
      <c r="Q2" s="49"/>
      <c r="R2" s="49"/>
      <c r="S2" s="49"/>
      <c r="T2" s="49"/>
      <c r="U2" s="49"/>
    </row>
    <row r="3" spans="1:21">
      <c r="A3" s="59" t="s">
        <v>4</v>
      </c>
      <c r="B3" s="63">
        <f>COUNTIF(B15:B62,"[TC_*]")</f>
        <v>46</v>
      </c>
      <c r="C3" s="63">
        <f>COUNTIF(B15:B62,"[TC_*]")</f>
        <v>46</v>
      </c>
      <c r="D3" s="64"/>
      <c r="E3" s="97"/>
      <c r="F3" s="100"/>
      <c r="G3" s="49"/>
      <c r="H3" s="49"/>
      <c r="I3" s="49"/>
      <c r="J3" s="49"/>
      <c r="K3" s="49"/>
      <c r="L3" s="49"/>
      <c r="M3" s="49"/>
      <c r="N3" s="49"/>
      <c r="O3" s="49"/>
      <c r="P3" s="49"/>
      <c r="Q3" s="49"/>
      <c r="R3" s="49"/>
      <c r="S3" s="49"/>
      <c r="T3" s="49"/>
      <c r="U3" s="49"/>
    </row>
    <row r="4" spans="1:21">
      <c r="A4" s="60" t="s">
        <v>5</v>
      </c>
      <c r="B4" s="65">
        <f>COUNTIF(R15:R58, "Passed")</f>
        <v>0</v>
      </c>
      <c r="C4" s="66"/>
      <c r="D4" s="67"/>
      <c r="E4" s="96"/>
      <c r="F4" s="49"/>
      <c r="G4" s="49"/>
      <c r="H4" s="49"/>
      <c r="I4" s="49"/>
      <c r="J4" s="49"/>
      <c r="K4" s="49"/>
      <c r="L4" s="49"/>
      <c r="M4" s="49"/>
      <c r="N4" s="49"/>
      <c r="O4" s="49"/>
      <c r="P4" s="49"/>
      <c r="Q4" s="49"/>
      <c r="R4" s="49"/>
      <c r="S4" s="49"/>
      <c r="T4" s="49"/>
      <c r="U4" s="49"/>
    </row>
    <row r="5" spans="1:21">
      <c r="A5" s="54" t="s">
        <v>6</v>
      </c>
      <c r="B5" s="50"/>
      <c r="C5" s="61"/>
      <c r="D5" s="51"/>
      <c r="E5" s="49"/>
      <c r="F5" s="49"/>
      <c r="G5" s="49"/>
      <c r="H5" s="49"/>
      <c r="I5" s="49"/>
      <c r="J5" s="49"/>
      <c r="K5" s="49"/>
      <c r="L5" s="49"/>
      <c r="M5" s="49"/>
      <c r="N5" s="49"/>
      <c r="O5" s="49"/>
      <c r="P5" s="49"/>
      <c r="Q5" s="49"/>
      <c r="R5" s="49"/>
      <c r="S5" s="49"/>
      <c r="T5" s="49"/>
      <c r="U5" s="49"/>
    </row>
    <row r="6" spans="1:21">
      <c r="A6" s="54" t="s">
        <v>7</v>
      </c>
      <c r="B6" s="50"/>
      <c r="C6" s="61"/>
      <c r="D6" s="51"/>
      <c r="E6" s="49"/>
      <c r="F6" s="49"/>
      <c r="G6" s="49"/>
      <c r="H6" s="49"/>
      <c r="I6" s="49"/>
      <c r="J6" s="49"/>
      <c r="K6" s="49"/>
      <c r="L6" s="49"/>
      <c r="M6" s="49"/>
      <c r="N6" s="49"/>
      <c r="O6" s="49"/>
      <c r="P6" s="49"/>
      <c r="Q6" s="49"/>
      <c r="R6" s="49"/>
      <c r="S6" s="49"/>
      <c r="T6" s="49"/>
      <c r="U6" s="49"/>
    </row>
    <row r="7" spans="1:21">
      <c r="A7" s="54" t="s">
        <v>8</v>
      </c>
      <c r="B7" s="50"/>
      <c r="C7" s="61"/>
      <c r="D7" s="51"/>
      <c r="E7" s="49"/>
      <c r="F7" s="49"/>
      <c r="G7" s="49"/>
      <c r="H7" s="49"/>
      <c r="I7" s="49"/>
      <c r="J7" s="49"/>
      <c r="K7" s="49"/>
      <c r="L7" s="49"/>
      <c r="M7" s="49"/>
      <c r="N7" s="49"/>
      <c r="O7" s="49"/>
      <c r="P7" s="49"/>
      <c r="Q7" s="49"/>
      <c r="R7" s="49"/>
      <c r="S7" s="49"/>
      <c r="T7" s="49"/>
      <c r="U7" s="49"/>
    </row>
    <row r="8" spans="1:21">
      <c r="A8" s="54" t="s">
        <v>9</v>
      </c>
      <c r="B8" s="50"/>
      <c r="C8" s="61"/>
      <c r="D8" s="51"/>
      <c r="E8" s="49"/>
      <c r="F8" s="49"/>
      <c r="G8" s="49"/>
      <c r="H8" s="49"/>
      <c r="I8" s="49"/>
      <c r="J8" s="49"/>
      <c r="K8" s="49"/>
      <c r="L8" s="49"/>
      <c r="M8" s="49"/>
      <c r="N8" s="49"/>
      <c r="O8" s="49"/>
      <c r="P8" s="49"/>
      <c r="Q8" s="49"/>
      <c r="R8" s="49"/>
      <c r="S8" s="49"/>
      <c r="T8" s="49"/>
      <c r="U8" s="49"/>
    </row>
    <row r="9" spans="1:21" ht="15.75" thickBot="1">
      <c r="A9" s="55" t="s">
        <v>10</v>
      </c>
      <c r="B9" s="52"/>
      <c r="C9" s="62"/>
      <c r="D9" s="53"/>
      <c r="E9" s="49"/>
      <c r="F9" s="49"/>
      <c r="G9" s="49"/>
      <c r="H9" s="49"/>
      <c r="I9" s="49"/>
      <c r="J9" s="49"/>
      <c r="K9" s="49"/>
      <c r="L9" s="49"/>
      <c r="M9" s="49"/>
      <c r="N9" s="49"/>
      <c r="O9" s="49"/>
      <c r="P9" s="49"/>
      <c r="Q9" s="49"/>
      <c r="R9" s="49"/>
      <c r="S9" s="49"/>
      <c r="T9" s="49"/>
      <c r="U9" s="49"/>
    </row>
    <row r="10" spans="1:21" ht="15.75" thickBot="1">
      <c r="A10" s="49"/>
      <c r="B10" s="49"/>
      <c r="C10" s="49"/>
      <c r="D10" s="49"/>
      <c r="E10" s="49"/>
      <c r="F10" s="49"/>
      <c r="G10" s="49"/>
      <c r="H10" s="49"/>
      <c r="I10" s="49"/>
      <c r="J10" s="49"/>
      <c r="K10" s="49"/>
      <c r="L10" s="49"/>
      <c r="M10" s="49"/>
      <c r="N10" s="49"/>
      <c r="O10" s="49"/>
      <c r="P10" s="49"/>
      <c r="Q10" s="49"/>
      <c r="R10" s="49"/>
      <c r="S10" s="49"/>
      <c r="T10" s="49"/>
      <c r="U10" s="49"/>
    </row>
    <row r="11" spans="1:21" ht="39" thickBot="1">
      <c r="A11" s="76" t="s">
        <v>14</v>
      </c>
      <c r="B11" s="77" t="s">
        <v>15</v>
      </c>
      <c r="C11" s="77" t="s">
        <v>16</v>
      </c>
      <c r="D11" s="77" t="s">
        <v>32</v>
      </c>
      <c r="E11" s="77" t="s">
        <v>0</v>
      </c>
      <c r="F11" s="77" t="s">
        <v>47</v>
      </c>
      <c r="G11" s="77" t="s">
        <v>48</v>
      </c>
      <c r="H11" s="77" t="s">
        <v>51</v>
      </c>
      <c r="I11" s="77" t="s">
        <v>53</v>
      </c>
      <c r="J11" s="77" t="s">
        <v>55</v>
      </c>
      <c r="K11" s="77" t="s">
        <v>56</v>
      </c>
      <c r="L11" s="77" t="s">
        <v>58</v>
      </c>
      <c r="M11" s="77" t="s">
        <v>60</v>
      </c>
      <c r="N11" s="77" t="s">
        <v>59</v>
      </c>
      <c r="O11" s="77" t="s">
        <v>21</v>
      </c>
      <c r="P11" s="68" t="s">
        <v>22</v>
      </c>
      <c r="Q11" s="69"/>
      <c r="R11" s="77"/>
      <c r="S11" s="68" t="s">
        <v>61</v>
      </c>
      <c r="T11" s="69" t="s">
        <v>23</v>
      </c>
      <c r="U11" s="49"/>
    </row>
    <row r="12" spans="1:21">
      <c r="A12" s="78"/>
      <c r="B12" s="79"/>
      <c r="C12" s="80" t="s">
        <v>33</v>
      </c>
      <c r="D12" s="79"/>
      <c r="E12" s="79"/>
      <c r="F12" s="79"/>
      <c r="G12" s="79"/>
      <c r="H12" s="79"/>
      <c r="I12" s="79"/>
      <c r="J12" s="79"/>
      <c r="K12" s="79"/>
      <c r="L12" s="79"/>
      <c r="M12" s="79"/>
      <c r="N12" s="79"/>
      <c r="O12" s="79"/>
      <c r="P12" s="79"/>
      <c r="Q12" s="79"/>
      <c r="R12" s="81"/>
      <c r="S12" s="82"/>
      <c r="T12" s="83"/>
      <c r="U12" s="49"/>
    </row>
    <row r="13" spans="1:21">
      <c r="A13" s="84"/>
      <c r="B13" s="85"/>
      <c r="C13" s="85" t="s">
        <v>79</v>
      </c>
      <c r="D13" s="85"/>
      <c r="E13" s="85"/>
      <c r="F13" s="85"/>
      <c r="G13" s="85"/>
      <c r="H13" s="85"/>
      <c r="I13" s="85"/>
      <c r="J13" s="85"/>
      <c r="K13" s="85"/>
      <c r="L13" s="85"/>
      <c r="M13" s="85"/>
      <c r="N13" s="85"/>
      <c r="O13" s="85"/>
      <c r="P13" s="85"/>
      <c r="Q13" s="85"/>
      <c r="R13" s="85"/>
      <c r="S13" s="85"/>
      <c r="T13" s="86"/>
      <c r="U13" s="49"/>
    </row>
    <row r="14" spans="1:21" ht="25.5" outlineLevel="1">
      <c r="A14" s="111"/>
      <c r="B14" s="94"/>
      <c r="C14" s="94" t="s">
        <v>34</v>
      </c>
      <c r="D14" s="94"/>
      <c r="E14" s="94"/>
      <c r="F14" s="94"/>
      <c r="G14" s="94"/>
      <c r="H14" s="94"/>
      <c r="I14" s="94"/>
      <c r="J14" s="94"/>
      <c r="K14" s="94"/>
      <c r="L14" s="94"/>
      <c r="M14" s="94"/>
      <c r="N14" s="94"/>
      <c r="O14" s="94"/>
      <c r="P14" s="94"/>
      <c r="Q14" s="94"/>
      <c r="R14" s="94"/>
      <c r="S14" s="94"/>
      <c r="T14" s="51"/>
      <c r="U14" s="49"/>
    </row>
    <row r="15" spans="1:21" ht="25.5" outlineLevel="1">
      <c r="A15" s="111" t="s">
        <v>26</v>
      </c>
      <c r="B15" s="94" t="str">
        <f>IF(C15&lt;&gt;"", "[TC_"&amp;TEXT(ROW()-14-COUNTBLANK(E$15:$E15),"###")&amp;"]","")</f>
        <v>[TC_1]</v>
      </c>
      <c r="C15" s="94" t="s">
        <v>97</v>
      </c>
      <c r="D15" s="94"/>
      <c r="E15" s="94" t="s">
        <v>35</v>
      </c>
      <c r="F15" s="94" t="s">
        <v>50</v>
      </c>
      <c r="G15" s="94" t="s">
        <v>49</v>
      </c>
      <c r="H15" s="94" t="s">
        <v>67</v>
      </c>
      <c r="I15" s="94" t="s">
        <v>54</v>
      </c>
      <c r="J15" s="94" t="s">
        <v>54</v>
      </c>
      <c r="K15" s="94" t="s">
        <v>57</v>
      </c>
      <c r="L15" s="94">
        <v>201</v>
      </c>
      <c r="M15" s="94" t="s">
        <v>117</v>
      </c>
      <c r="N15" s="94"/>
      <c r="O15" s="94"/>
      <c r="P15" s="94"/>
      <c r="Q15" s="94"/>
      <c r="R15" s="94"/>
      <c r="S15" s="94" t="s">
        <v>118</v>
      </c>
      <c r="T15" s="51"/>
      <c r="U15" s="49"/>
    </row>
    <row r="16" spans="1:21" ht="25.5" outlineLevel="1">
      <c r="A16" s="111" t="s">
        <v>26</v>
      </c>
      <c r="B16" s="94" t="str">
        <f>IF(C16&lt;&gt;"", "[TC_"&amp;TEXT(ROW()-14-COUNTBLANK(E$15:$E16),"###")&amp;"]","")</f>
        <v>[TC_2]</v>
      </c>
      <c r="C16" s="94" t="s">
        <v>98</v>
      </c>
      <c r="D16" s="94"/>
      <c r="E16" s="94" t="s">
        <v>35</v>
      </c>
      <c r="F16" s="94" t="s">
        <v>50</v>
      </c>
      <c r="G16" s="94" t="s">
        <v>49</v>
      </c>
      <c r="H16" s="94" t="s">
        <v>67</v>
      </c>
      <c r="I16" s="94" t="s">
        <v>54</v>
      </c>
      <c r="J16" s="94" t="s">
        <v>54</v>
      </c>
      <c r="K16" s="94" t="s">
        <v>62</v>
      </c>
      <c r="L16" s="94">
        <v>201</v>
      </c>
      <c r="M16" s="94" t="s">
        <v>117</v>
      </c>
      <c r="N16" s="94"/>
      <c r="O16" s="94"/>
      <c r="P16" s="94"/>
      <c r="Q16" s="50"/>
      <c r="R16" s="50"/>
      <c r="S16" s="94" t="s">
        <v>118</v>
      </c>
      <c r="T16" s="51"/>
    </row>
    <row r="17" spans="1:20" ht="25.5" outlineLevel="1">
      <c r="A17" s="111" t="s">
        <v>26</v>
      </c>
      <c r="B17" s="94" t="str">
        <f>IF(C17&lt;&gt;"", "[TC_"&amp;TEXT(ROW()-14-COUNTBLANK(E$15:$E17),"###")&amp;"]","")</f>
        <v>[TC_3]</v>
      </c>
      <c r="C17" s="94" t="s">
        <v>75</v>
      </c>
      <c r="D17" s="94"/>
      <c r="E17" s="94" t="s">
        <v>35</v>
      </c>
      <c r="F17" s="94" t="s">
        <v>50</v>
      </c>
      <c r="G17" s="94" t="s">
        <v>66</v>
      </c>
      <c r="H17" s="94" t="s">
        <v>67</v>
      </c>
      <c r="I17" s="94" t="s">
        <v>54</v>
      </c>
      <c r="J17" s="94" t="s">
        <v>54</v>
      </c>
      <c r="K17" s="94" t="s">
        <v>69</v>
      </c>
      <c r="L17" s="94">
        <v>201</v>
      </c>
      <c r="M17" s="94" t="s">
        <v>117</v>
      </c>
      <c r="N17" s="94"/>
      <c r="O17" s="94"/>
      <c r="P17" s="94"/>
      <c r="Q17" s="50"/>
      <c r="R17" s="50"/>
      <c r="S17" s="94" t="s">
        <v>118</v>
      </c>
      <c r="T17" s="51"/>
    </row>
    <row r="18" spans="1:20" ht="25.5" outlineLevel="1">
      <c r="A18" s="111" t="s">
        <v>26</v>
      </c>
      <c r="B18" s="94" t="str">
        <f>IF(C18&lt;&gt;"", "[TC_"&amp;TEXT(ROW()-14-COUNTBLANK(E$15:$E18),"###")&amp;"]","")</f>
        <v>[TC_4]</v>
      </c>
      <c r="C18" s="94" t="s">
        <v>76</v>
      </c>
      <c r="D18" s="94"/>
      <c r="E18" s="94" t="s">
        <v>35</v>
      </c>
      <c r="F18" s="94" t="s">
        <v>50</v>
      </c>
      <c r="G18" s="94" t="s">
        <v>49</v>
      </c>
      <c r="H18" s="94" t="s">
        <v>67</v>
      </c>
      <c r="I18" s="94" t="s">
        <v>54</v>
      </c>
      <c r="J18" s="94" t="s">
        <v>54</v>
      </c>
      <c r="K18" s="94" t="s">
        <v>68</v>
      </c>
      <c r="L18" s="94">
        <v>201</v>
      </c>
      <c r="M18" s="94" t="s">
        <v>117</v>
      </c>
      <c r="N18" s="94"/>
      <c r="O18" s="94"/>
      <c r="P18" s="94"/>
      <c r="Q18" s="50"/>
      <c r="R18" s="50"/>
      <c r="S18" s="94" t="s">
        <v>118</v>
      </c>
      <c r="T18" s="51"/>
    </row>
    <row r="19" spans="1:20" ht="63.75" outlineLevel="1">
      <c r="A19" s="111" t="s">
        <v>26</v>
      </c>
      <c r="B19" s="94" t="str">
        <f>IF(C19&lt;&gt;"", "[TC_"&amp;TEXT(ROW()-14-COUNTBLANK(E$15:$E19),"###")&amp;"]","")</f>
        <v>[TC_5]</v>
      </c>
      <c r="C19" s="94" t="s">
        <v>77</v>
      </c>
      <c r="D19" s="94"/>
      <c r="E19" s="94" t="s">
        <v>35</v>
      </c>
      <c r="F19" s="94" t="s">
        <v>50</v>
      </c>
      <c r="G19" s="94" t="s">
        <v>66</v>
      </c>
      <c r="H19" s="94" t="s">
        <v>67</v>
      </c>
      <c r="I19" s="94" t="s">
        <v>54</v>
      </c>
      <c r="J19" s="94" t="s">
        <v>54</v>
      </c>
      <c r="K19" s="94" t="s">
        <v>70</v>
      </c>
      <c r="L19" s="94">
        <v>201</v>
      </c>
      <c r="M19" s="94" t="s">
        <v>117</v>
      </c>
      <c r="N19" s="94"/>
      <c r="O19" s="94"/>
      <c r="P19" s="94"/>
      <c r="Q19" s="50"/>
      <c r="R19" s="50"/>
      <c r="S19" s="94" t="s">
        <v>118</v>
      </c>
      <c r="T19" s="51"/>
    </row>
    <row r="20" spans="1:20" ht="63.75" outlineLevel="1">
      <c r="A20" s="111" t="s">
        <v>26</v>
      </c>
      <c r="B20" s="94" t="str">
        <f>IF(C20&lt;&gt;"", "[TC_"&amp;TEXT(ROW()-14-COUNTBLANK(E$15:$E20),"###")&amp;"]","")</f>
        <v>[TC_6]</v>
      </c>
      <c r="C20" s="94" t="s">
        <v>78</v>
      </c>
      <c r="D20" s="94"/>
      <c r="E20" s="94" t="s">
        <v>35</v>
      </c>
      <c r="F20" s="94" t="s">
        <v>50</v>
      </c>
      <c r="G20" s="94" t="s">
        <v>49</v>
      </c>
      <c r="H20" s="94" t="s">
        <v>67</v>
      </c>
      <c r="I20" s="94" t="s">
        <v>54</v>
      </c>
      <c r="J20" s="94" t="s">
        <v>54</v>
      </c>
      <c r="K20" s="94" t="s">
        <v>71</v>
      </c>
      <c r="L20" s="94">
        <v>201</v>
      </c>
      <c r="M20" s="94" t="s">
        <v>117</v>
      </c>
      <c r="N20" s="94"/>
      <c r="O20" s="94"/>
      <c r="P20" s="94"/>
      <c r="Q20" s="50"/>
      <c r="R20" s="50"/>
      <c r="S20" s="94" t="s">
        <v>118</v>
      </c>
      <c r="T20" s="51"/>
    </row>
    <row r="21" spans="1:20" ht="25.5" outlineLevel="1">
      <c r="A21" s="111" t="s">
        <v>26</v>
      </c>
      <c r="B21" s="94" t="str">
        <f>IF(C21&lt;&gt;"", "[TC_"&amp;TEXT(ROW()-14-COUNTBLANK(E$15:$E21),"###")&amp;"]","")</f>
        <v>[TC_7]</v>
      </c>
      <c r="C21" s="94" t="s">
        <v>103</v>
      </c>
      <c r="D21" s="94"/>
      <c r="E21" s="94" t="s">
        <v>35</v>
      </c>
      <c r="F21" s="94" t="s">
        <v>50</v>
      </c>
      <c r="G21" s="94" t="s">
        <v>66</v>
      </c>
      <c r="H21" s="94" t="s">
        <v>67</v>
      </c>
      <c r="I21" s="94" t="s">
        <v>54</v>
      </c>
      <c r="J21" s="94" t="s">
        <v>54</v>
      </c>
      <c r="K21" s="94"/>
      <c r="L21" s="94">
        <v>201</v>
      </c>
      <c r="M21" s="94" t="s">
        <v>117</v>
      </c>
      <c r="N21" s="94"/>
      <c r="O21" s="94"/>
      <c r="P21" s="94"/>
      <c r="Q21" s="50"/>
      <c r="R21" s="50"/>
      <c r="S21" s="94" t="s">
        <v>118</v>
      </c>
      <c r="T21" s="51"/>
    </row>
    <row r="22" spans="1:20" ht="25.5" outlineLevel="1">
      <c r="A22" s="111" t="s">
        <v>26</v>
      </c>
      <c r="B22" s="94" t="str">
        <f>IF(C22&lt;&gt;"", "[TC_"&amp;TEXT(ROW()-14-COUNTBLANK(E$15:$E22),"###")&amp;"]","")</f>
        <v>[TC_8]</v>
      </c>
      <c r="C22" s="94" t="s">
        <v>106</v>
      </c>
      <c r="D22" s="94"/>
      <c r="E22" s="94" t="s">
        <v>35</v>
      </c>
      <c r="F22" s="94" t="s">
        <v>50</v>
      </c>
      <c r="G22" s="94" t="s">
        <v>66</v>
      </c>
      <c r="H22" s="94" t="s">
        <v>67</v>
      </c>
      <c r="I22" s="94" t="s">
        <v>54</v>
      </c>
      <c r="J22" s="94" t="s">
        <v>54</v>
      </c>
      <c r="K22" s="94"/>
      <c r="L22" s="94">
        <v>201</v>
      </c>
      <c r="M22" s="94" t="s">
        <v>117</v>
      </c>
      <c r="N22" s="94"/>
      <c r="O22" s="94"/>
      <c r="P22" s="94"/>
      <c r="Q22" s="50"/>
      <c r="R22" s="50"/>
      <c r="S22" s="94" t="s">
        <v>118</v>
      </c>
      <c r="T22" s="51"/>
    </row>
    <row r="23" spans="1:20" ht="25.5" outlineLevel="1">
      <c r="A23" s="111" t="s">
        <v>26</v>
      </c>
      <c r="B23" s="94" t="str">
        <f>IF(C23&lt;&gt;"", "[TC_"&amp;TEXT(ROW()-14-COUNTBLANK(E$15:$E23),"###")&amp;"]","")</f>
        <v>[TC_9]</v>
      </c>
      <c r="C23" s="94" t="s">
        <v>104</v>
      </c>
      <c r="D23" s="94"/>
      <c r="E23" s="94" t="s">
        <v>35</v>
      </c>
      <c r="F23" s="94" t="s">
        <v>50</v>
      </c>
      <c r="G23" s="94" t="s">
        <v>66</v>
      </c>
      <c r="H23" s="94" t="s">
        <v>67</v>
      </c>
      <c r="I23" s="94" t="s">
        <v>54</v>
      </c>
      <c r="J23" s="94" t="s">
        <v>54</v>
      </c>
      <c r="K23" s="94"/>
      <c r="L23" s="94">
        <v>201</v>
      </c>
      <c r="M23" s="94" t="s">
        <v>117</v>
      </c>
      <c r="N23" s="94"/>
      <c r="O23" s="94"/>
      <c r="P23" s="94"/>
      <c r="Q23" s="50"/>
      <c r="R23" s="50"/>
      <c r="S23" s="94" t="s">
        <v>118</v>
      </c>
      <c r="T23" s="51"/>
    </row>
    <row r="24" spans="1:20" ht="25.5" outlineLevel="1">
      <c r="A24" s="111" t="s">
        <v>26</v>
      </c>
      <c r="B24" s="94" t="str">
        <f>IF(C24&lt;&gt;"", "[TC_"&amp;TEXT(ROW()-14-COUNTBLANK(E$15:$E24),"###")&amp;"]","")</f>
        <v>[TC_10]</v>
      </c>
      <c r="C24" s="94" t="s">
        <v>105</v>
      </c>
      <c r="D24" s="94"/>
      <c r="E24" s="94" t="s">
        <v>35</v>
      </c>
      <c r="F24" s="94" t="s">
        <v>50</v>
      </c>
      <c r="G24" s="94" t="s">
        <v>66</v>
      </c>
      <c r="H24" s="94" t="s">
        <v>67</v>
      </c>
      <c r="I24" s="94" t="s">
        <v>54</v>
      </c>
      <c r="J24" s="94" t="s">
        <v>54</v>
      </c>
      <c r="K24" s="94" t="s">
        <v>72</v>
      </c>
      <c r="L24" s="94">
        <v>201</v>
      </c>
      <c r="M24" s="94" t="s">
        <v>117</v>
      </c>
      <c r="N24" s="94"/>
      <c r="O24" s="94"/>
      <c r="P24" s="94"/>
      <c r="Q24" s="50"/>
      <c r="R24" s="50"/>
      <c r="S24" s="94" t="s">
        <v>118</v>
      </c>
      <c r="T24" s="51"/>
    </row>
    <row r="25" spans="1:20" ht="25.5" outlineLevel="1">
      <c r="A25" s="111" t="s">
        <v>26</v>
      </c>
      <c r="B25" s="94" t="str">
        <f>IF(C25&lt;&gt;"", "[TC_"&amp;TEXT(ROW()-14-COUNTBLANK(E$15:$E25),"###")&amp;"]","")</f>
        <v>[TC_11]</v>
      </c>
      <c r="C25" s="94" t="s">
        <v>101</v>
      </c>
      <c r="D25" s="94"/>
      <c r="E25" s="94" t="s">
        <v>35</v>
      </c>
      <c r="F25" s="94" t="s">
        <v>50</v>
      </c>
      <c r="G25" s="94" t="s">
        <v>49</v>
      </c>
      <c r="H25" s="94" t="s">
        <v>67</v>
      </c>
      <c r="I25" s="94" t="s">
        <v>54</v>
      </c>
      <c r="J25" s="94" t="s">
        <v>54</v>
      </c>
      <c r="K25" s="94" t="s">
        <v>73</v>
      </c>
      <c r="L25" s="94">
        <v>201</v>
      </c>
      <c r="M25" s="94" t="s">
        <v>117</v>
      </c>
      <c r="N25" s="94"/>
      <c r="O25" s="94"/>
      <c r="P25" s="94"/>
      <c r="Q25" s="50"/>
      <c r="R25" s="50"/>
      <c r="S25" s="94" t="s">
        <v>118</v>
      </c>
      <c r="T25" s="51"/>
    </row>
    <row r="26" spans="1:20" ht="25.5" outlineLevel="1">
      <c r="A26" s="111" t="s">
        <v>26</v>
      </c>
      <c r="B26" s="94" t="str">
        <f>IF(C26&lt;&gt;"", "[TC_"&amp;TEXT(ROW()-14-COUNTBLANK(E$15:$E26),"###")&amp;"]","")</f>
        <v>[TC_12]</v>
      </c>
      <c r="C26" s="94" t="s">
        <v>102</v>
      </c>
      <c r="D26" s="94"/>
      <c r="E26" s="94" t="s">
        <v>35</v>
      </c>
      <c r="F26" s="94" t="s">
        <v>50</v>
      </c>
      <c r="G26" s="94" t="s">
        <v>49</v>
      </c>
      <c r="H26" s="94" t="s">
        <v>67</v>
      </c>
      <c r="I26" s="94" t="s">
        <v>54</v>
      </c>
      <c r="J26" s="94" t="s">
        <v>54</v>
      </c>
      <c r="K26" s="94" t="s">
        <v>74</v>
      </c>
      <c r="L26" s="94">
        <v>201</v>
      </c>
      <c r="M26" s="94" t="s">
        <v>117</v>
      </c>
      <c r="N26" s="94"/>
      <c r="O26" s="94"/>
      <c r="P26" s="94"/>
      <c r="Q26" s="50"/>
      <c r="R26" s="50"/>
      <c r="S26" s="94" t="s">
        <v>118</v>
      </c>
      <c r="T26" s="51"/>
    </row>
    <row r="27" spans="1:20" ht="25.5" outlineLevel="1">
      <c r="A27" s="111" t="s">
        <v>26</v>
      </c>
      <c r="B27" s="94" t="str">
        <f>IF(C27&lt;&gt;"", "[TC_"&amp;TEXT(ROW()-14-COUNTBLANK(E$15:$E27),"###")&amp;"]","")</f>
        <v>[TC_13]</v>
      </c>
      <c r="C27" s="94" t="s">
        <v>99</v>
      </c>
      <c r="D27" s="94"/>
      <c r="E27" s="94" t="s">
        <v>35</v>
      </c>
      <c r="F27" s="94" t="s">
        <v>50</v>
      </c>
      <c r="G27" s="94" t="s">
        <v>49</v>
      </c>
      <c r="H27" s="94" t="s">
        <v>67</v>
      </c>
      <c r="I27" s="94" t="s">
        <v>54</v>
      </c>
      <c r="J27" s="94" t="s">
        <v>54</v>
      </c>
      <c r="K27" s="94"/>
      <c r="L27" s="94">
        <v>201</v>
      </c>
      <c r="M27" s="94" t="s">
        <v>117</v>
      </c>
      <c r="N27" s="94"/>
      <c r="O27" s="94"/>
      <c r="P27" s="94"/>
      <c r="Q27" s="50"/>
      <c r="R27" s="50"/>
      <c r="S27" s="94" t="s">
        <v>118</v>
      </c>
      <c r="T27" s="51"/>
    </row>
    <row r="28" spans="1:20" ht="25.5" outlineLevel="1">
      <c r="A28" s="111" t="s">
        <v>26</v>
      </c>
      <c r="B28" s="94" t="str">
        <f>IF(C28&lt;&gt;"", "[TC_"&amp;TEXT(ROW()-14-COUNTBLANK(E$15:$E28),"###")&amp;"]","")</f>
        <v>[TC_14]</v>
      </c>
      <c r="C28" s="94" t="s">
        <v>100</v>
      </c>
      <c r="D28" s="94"/>
      <c r="E28" s="94" t="s">
        <v>35</v>
      </c>
      <c r="F28" s="94" t="s">
        <v>50</v>
      </c>
      <c r="G28" s="94" t="s">
        <v>49</v>
      </c>
      <c r="H28" s="94" t="s">
        <v>67</v>
      </c>
      <c r="I28" s="94" t="s">
        <v>54</v>
      </c>
      <c r="J28" s="94" t="s">
        <v>54</v>
      </c>
      <c r="K28" s="94"/>
      <c r="L28" s="94">
        <v>201</v>
      </c>
      <c r="M28" s="94" t="s">
        <v>117</v>
      </c>
      <c r="N28" s="94"/>
      <c r="O28" s="94"/>
      <c r="P28" s="94"/>
      <c r="Q28" s="50"/>
      <c r="R28" s="50"/>
      <c r="S28" s="94" t="s">
        <v>118</v>
      </c>
      <c r="T28" s="51"/>
    </row>
    <row r="29" spans="1:20" ht="25.5" outlineLevel="1">
      <c r="A29" s="111" t="s">
        <v>26</v>
      </c>
      <c r="B29" s="94" t="str">
        <f>IF(C29&lt;&gt;"", "[TC_"&amp;TEXT(ROW()-14-COUNTBLANK(E$15:$E29),"###")&amp;"]","")</f>
        <v>[TC_15]</v>
      </c>
      <c r="C29" s="94" t="s">
        <v>80</v>
      </c>
      <c r="D29" s="94"/>
      <c r="E29" s="94" t="s">
        <v>35</v>
      </c>
      <c r="F29" s="94" t="s">
        <v>50</v>
      </c>
      <c r="G29" s="94" t="s">
        <v>65</v>
      </c>
      <c r="H29" s="94" t="s">
        <v>67</v>
      </c>
      <c r="I29" s="94" t="s">
        <v>54</v>
      </c>
      <c r="J29" s="94" t="s">
        <v>54</v>
      </c>
      <c r="K29" s="94"/>
      <c r="L29" s="94">
        <v>201</v>
      </c>
      <c r="M29" s="94" t="s">
        <v>117</v>
      </c>
      <c r="N29" s="94"/>
      <c r="O29" s="94"/>
      <c r="P29" s="94"/>
      <c r="Q29" s="50"/>
      <c r="R29" s="50"/>
      <c r="S29" s="94" t="s">
        <v>118</v>
      </c>
      <c r="T29" s="51"/>
    </row>
    <row r="30" spans="1:20" ht="25.5" outlineLevel="1">
      <c r="A30" s="111" t="s">
        <v>26</v>
      </c>
      <c r="B30" s="94" t="str">
        <f>IF(C30&lt;&gt;"", "[TC_"&amp;TEXT(ROW()-14-COUNTBLANK(E$15:$E30),"###")&amp;"]","")</f>
        <v>[TC_16]</v>
      </c>
      <c r="C30" s="94" t="s">
        <v>81</v>
      </c>
      <c r="D30" s="94"/>
      <c r="E30" s="94" t="s">
        <v>35</v>
      </c>
      <c r="F30" s="94" t="s">
        <v>50</v>
      </c>
      <c r="G30" s="94" t="s">
        <v>65</v>
      </c>
      <c r="H30" s="94" t="s">
        <v>67</v>
      </c>
      <c r="I30" s="94" t="s">
        <v>54</v>
      </c>
      <c r="J30" s="94" t="s">
        <v>54</v>
      </c>
      <c r="K30" s="94"/>
      <c r="L30" s="94">
        <v>201</v>
      </c>
      <c r="M30" s="94" t="s">
        <v>117</v>
      </c>
      <c r="N30" s="94"/>
      <c r="O30" s="94"/>
      <c r="P30" s="94"/>
      <c r="Q30" s="50"/>
      <c r="R30" s="50"/>
      <c r="S30" s="94" t="s">
        <v>118</v>
      </c>
      <c r="T30" s="51"/>
    </row>
    <row r="31" spans="1:20" ht="25.5" outlineLevel="1">
      <c r="A31" s="111" t="s">
        <v>26</v>
      </c>
      <c r="B31" s="94" t="str">
        <f>IF(C31&lt;&gt;"", "[TC_"&amp;TEXT(ROW()-14-COUNTBLANK(E$15:$E31),"###")&amp;"]","")</f>
        <v>[TC_17]</v>
      </c>
      <c r="C31" s="94" t="s">
        <v>82</v>
      </c>
      <c r="D31" s="94"/>
      <c r="E31" s="94" t="s">
        <v>35</v>
      </c>
      <c r="F31" s="94" t="s">
        <v>50</v>
      </c>
      <c r="G31" s="94" t="s">
        <v>63</v>
      </c>
      <c r="H31" s="94" t="s">
        <v>67</v>
      </c>
      <c r="I31" s="94" t="s">
        <v>54</v>
      </c>
      <c r="J31" s="94" t="s">
        <v>54</v>
      </c>
      <c r="K31" s="94"/>
      <c r="L31" s="94">
        <v>400</v>
      </c>
      <c r="M31" s="94" t="s">
        <v>117</v>
      </c>
      <c r="N31" s="94"/>
      <c r="O31" s="94"/>
      <c r="P31" s="94"/>
      <c r="Q31" s="50"/>
      <c r="R31" s="50"/>
      <c r="S31" s="94" t="s">
        <v>118</v>
      </c>
      <c r="T31" s="51"/>
    </row>
    <row r="32" spans="1:20" ht="25.5" outlineLevel="1">
      <c r="A32" s="111" t="s">
        <v>26</v>
      </c>
      <c r="B32" s="94" t="str">
        <f>IF(C32&lt;&gt;"", "[TC_"&amp;TEXT(ROW()-14-COUNTBLANK(E$15:$E32),"###")&amp;"]","")</f>
        <v>[TC_18]</v>
      </c>
      <c r="C32" s="94" t="s">
        <v>93</v>
      </c>
      <c r="D32" s="94"/>
      <c r="E32" s="94" t="s">
        <v>35</v>
      </c>
      <c r="F32" s="94" t="s">
        <v>50</v>
      </c>
      <c r="G32" s="94" t="s">
        <v>63</v>
      </c>
      <c r="H32" s="94" t="s">
        <v>67</v>
      </c>
      <c r="I32" s="94"/>
      <c r="J32" s="94"/>
      <c r="K32" s="94"/>
      <c r="L32" s="94">
        <v>400</v>
      </c>
      <c r="M32" s="94" t="s">
        <v>117</v>
      </c>
      <c r="N32" s="94"/>
      <c r="O32" s="94"/>
      <c r="P32" s="94"/>
      <c r="Q32" s="50"/>
      <c r="R32" s="50"/>
      <c r="S32" s="94" t="s">
        <v>118</v>
      </c>
      <c r="T32" s="51"/>
    </row>
    <row r="33" spans="1:20" ht="25.5" outlineLevel="1">
      <c r="A33" s="111" t="s">
        <v>26</v>
      </c>
      <c r="B33" s="94" t="str">
        <f>IF(C33&lt;&gt;"", "[TC_"&amp;TEXT(ROW()-14-COUNTBLANK(E$15:$E33),"###")&amp;"]","")</f>
        <v>[TC_19]</v>
      </c>
      <c r="C33" s="94" t="s">
        <v>83</v>
      </c>
      <c r="D33" s="94"/>
      <c r="E33" s="94" t="s">
        <v>35</v>
      </c>
      <c r="F33" s="94" t="s">
        <v>50</v>
      </c>
      <c r="G33" s="94" t="s">
        <v>63</v>
      </c>
      <c r="H33" s="94" t="s">
        <v>67</v>
      </c>
      <c r="I33" s="94" t="s">
        <v>54</v>
      </c>
      <c r="J33" s="94" t="s">
        <v>54</v>
      </c>
      <c r="K33" s="94"/>
      <c r="L33" s="94">
        <v>400</v>
      </c>
      <c r="M33" s="94" t="s">
        <v>117</v>
      </c>
      <c r="N33" s="94"/>
      <c r="O33" s="94"/>
      <c r="P33" s="94"/>
      <c r="Q33" s="50"/>
      <c r="R33" s="50"/>
      <c r="S33" s="94" t="s">
        <v>118</v>
      </c>
      <c r="T33" s="51"/>
    </row>
    <row r="34" spans="1:20" ht="25.5" outlineLevel="1">
      <c r="A34" s="111" t="s">
        <v>26</v>
      </c>
      <c r="B34" s="94" t="str">
        <f>IF(C34&lt;&gt;"", "[TC_"&amp;TEXT(ROW()-14-COUNTBLANK(E$15:$E34),"###")&amp;"]","")</f>
        <v>[TC_20]</v>
      </c>
      <c r="C34" s="94" t="s">
        <v>84</v>
      </c>
      <c r="D34" s="94"/>
      <c r="E34" s="94" t="s">
        <v>35</v>
      </c>
      <c r="F34" s="94" t="s">
        <v>50</v>
      </c>
      <c r="G34" s="94" t="s">
        <v>63</v>
      </c>
      <c r="H34" s="94" t="s">
        <v>67</v>
      </c>
      <c r="I34" s="94" t="s">
        <v>54</v>
      </c>
      <c r="J34" s="94" t="s">
        <v>54</v>
      </c>
      <c r="K34" s="94"/>
      <c r="L34" s="94">
        <v>400</v>
      </c>
      <c r="M34" s="94" t="s">
        <v>117</v>
      </c>
      <c r="N34" s="94"/>
      <c r="O34" s="94"/>
      <c r="P34" s="94"/>
      <c r="Q34" s="50"/>
      <c r="R34" s="50"/>
      <c r="S34" s="94" t="s">
        <v>118</v>
      </c>
      <c r="T34" s="51"/>
    </row>
    <row r="35" spans="1:20" ht="25.5" outlineLevel="1">
      <c r="A35" s="111" t="s">
        <v>26</v>
      </c>
      <c r="B35" s="94" t="str">
        <f>IF(C35&lt;&gt;"", "[TC_"&amp;TEXT(ROW()-14-COUNTBLANK(E$15:$E35),"###")&amp;"]","")</f>
        <v>[TC_21]</v>
      </c>
      <c r="C35" s="94" t="s">
        <v>107</v>
      </c>
      <c r="D35" s="94"/>
      <c r="E35" s="94" t="s">
        <v>35</v>
      </c>
      <c r="F35" s="94" t="s">
        <v>50</v>
      </c>
      <c r="G35" s="94" t="s">
        <v>63</v>
      </c>
      <c r="H35" s="94" t="s">
        <v>67</v>
      </c>
      <c r="I35" s="94" t="s">
        <v>54</v>
      </c>
      <c r="J35" s="94" t="s">
        <v>54</v>
      </c>
      <c r="K35" s="94"/>
      <c r="L35" s="94">
        <v>400</v>
      </c>
      <c r="M35" s="94" t="s">
        <v>117</v>
      </c>
      <c r="N35" s="94"/>
      <c r="O35" s="94"/>
      <c r="P35" s="94"/>
      <c r="Q35" s="50"/>
      <c r="R35" s="50"/>
      <c r="S35" s="94" t="s">
        <v>118</v>
      </c>
      <c r="T35" s="51"/>
    </row>
    <row r="36" spans="1:20" ht="25.5" outlineLevel="1">
      <c r="A36" s="111" t="s">
        <v>26</v>
      </c>
      <c r="B36" s="94" t="str">
        <f>IF(C36&lt;&gt;"", "[TC_"&amp;TEXT(ROW()-14-COUNTBLANK(E$15:$E36),"###")&amp;"]","")</f>
        <v>[TC_22]</v>
      </c>
      <c r="C36" s="127" t="s">
        <v>85</v>
      </c>
      <c r="D36" s="94"/>
      <c r="E36" s="94" t="s">
        <v>35</v>
      </c>
      <c r="F36" s="94" t="s">
        <v>50</v>
      </c>
      <c r="G36" s="94" t="s">
        <v>63</v>
      </c>
      <c r="H36" s="94" t="s">
        <v>67</v>
      </c>
      <c r="I36" s="94" t="s">
        <v>54</v>
      </c>
      <c r="J36" s="94" t="s">
        <v>54</v>
      </c>
      <c r="K36" s="94"/>
      <c r="L36" s="94">
        <v>400</v>
      </c>
      <c r="M36" s="94" t="s">
        <v>117</v>
      </c>
      <c r="N36" s="94"/>
      <c r="O36" s="94"/>
      <c r="P36" s="94"/>
      <c r="Q36" s="50"/>
      <c r="R36" s="50"/>
      <c r="S36" s="94" t="s">
        <v>118</v>
      </c>
      <c r="T36" s="51"/>
    </row>
    <row r="37" spans="1:20" ht="25.5" outlineLevel="1">
      <c r="A37" s="111" t="s">
        <v>26</v>
      </c>
      <c r="B37" s="94" t="str">
        <f>IF(C37&lt;&gt;"", "[TC_"&amp;TEXT(ROW()-14-COUNTBLANK(E$15:$E37),"###")&amp;"]","")</f>
        <v>[TC_23]</v>
      </c>
      <c r="C37" s="94" t="s">
        <v>86</v>
      </c>
      <c r="D37" s="94"/>
      <c r="E37" s="94" t="s">
        <v>35</v>
      </c>
      <c r="F37" s="94" t="s">
        <v>50</v>
      </c>
      <c r="G37" s="94" t="s">
        <v>63</v>
      </c>
      <c r="H37" s="94" t="s">
        <v>67</v>
      </c>
      <c r="I37" s="94" t="s">
        <v>54</v>
      </c>
      <c r="J37" s="94" t="s">
        <v>54</v>
      </c>
      <c r="K37" s="94"/>
      <c r="L37" s="94">
        <v>400</v>
      </c>
      <c r="M37" s="94" t="s">
        <v>117</v>
      </c>
      <c r="N37" s="94"/>
      <c r="O37" s="94"/>
      <c r="P37" s="94"/>
      <c r="Q37" s="50"/>
      <c r="R37" s="50"/>
      <c r="S37" s="94" t="s">
        <v>118</v>
      </c>
      <c r="T37" s="51"/>
    </row>
    <row r="38" spans="1:20" ht="25.5" outlineLevel="1">
      <c r="A38" s="111" t="s">
        <v>26</v>
      </c>
      <c r="B38" s="94" t="str">
        <f>IF(C38&lt;&gt;"", "[TC_"&amp;TEXT(ROW()-14-COUNTBLANK(E$15:$E38),"###")&amp;"]","")</f>
        <v>[TC_24]</v>
      </c>
      <c r="C38" s="94" t="s">
        <v>108</v>
      </c>
      <c r="D38" s="94"/>
      <c r="E38" s="94" t="s">
        <v>35</v>
      </c>
      <c r="F38" s="94" t="s">
        <v>50</v>
      </c>
      <c r="G38" s="94" t="s">
        <v>63</v>
      </c>
      <c r="H38" s="94" t="s">
        <v>67</v>
      </c>
      <c r="I38" s="94" t="s">
        <v>54</v>
      </c>
      <c r="J38" s="94" t="s">
        <v>54</v>
      </c>
      <c r="K38" s="94"/>
      <c r="L38" s="94">
        <v>400</v>
      </c>
      <c r="M38" s="94" t="s">
        <v>117</v>
      </c>
      <c r="N38" s="94"/>
      <c r="O38" s="94"/>
      <c r="P38" s="94"/>
      <c r="Q38" s="50"/>
      <c r="R38" s="50"/>
      <c r="S38" s="94" t="s">
        <v>118</v>
      </c>
      <c r="T38" s="51"/>
    </row>
    <row r="39" spans="1:20" ht="25.5" outlineLevel="1">
      <c r="A39" s="111" t="s">
        <v>26</v>
      </c>
      <c r="B39" s="94" t="str">
        <f>IF(C39&lt;&gt;"", "[TC_"&amp;TEXT(ROW()-14-COUNTBLANK(E$15:$E39),"###")&amp;"]","")</f>
        <v>[TC_25]</v>
      </c>
      <c r="C39" s="94" t="s">
        <v>87</v>
      </c>
      <c r="D39" s="94"/>
      <c r="E39" s="94" t="s">
        <v>35</v>
      </c>
      <c r="F39" s="94" t="s">
        <v>50</v>
      </c>
      <c r="G39" s="94" t="s">
        <v>63</v>
      </c>
      <c r="H39" s="94" t="s">
        <v>67</v>
      </c>
      <c r="I39" s="94" t="s">
        <v>54</v>
      </c>
      <c r="J39" s="94" t="s">
        <v>54</v>
      </c>
      <c r="K39" s="94"/>
      <c r="L39" s="94">
        <v>400</v>
      </c>
      <c r="M39" s="94" t="s">
        <v>117</v>
      </c>
      <c r="N39" s="94"/>
      <c r="O39" s="94"/>
      <c r="P39" s="94"/>
      <c r="Q39" s="50"/>
      <c r="R39" s="50"/>
      <c r="S39" s="94" t="s">
        <v>118</v>
      </c>
      <c r="T39" s="51"/>
    </row>
    <row r="40" spans="1:20" ht="25.5" outlineLevel="1">
      <c r="A40" s="111" t="s">
        <v>26</v>
      </c>
      <c r="B40" s="94" t="str">
        <f>IF(C40&lt;&gt;"", "[TC_"&amp;TEXT(ROW()-14-COUNTBLANK(E$15:$E40),"###")&amp;"]","")</f>
        <v>[TC_26]</v>
      </c>
      <c r="C40" s="94" t="s">
        <v>109</v>
      </c>
      <c r="D40" s="94"/>
      <c r="E40" s="94" t="s">
        <v>35</v>
      </c>
      <c r="F40" s="94" t="s">
        <v>50</v>
      </c>
      <c r="G40" s="94"/>
      <c r="H40" s="94" t="s">
        <v>67</v>
      </c>
      <c r="I40" s="94" t="s">
        <v>54</v>
      </c>
      <c r="J40" s="94" t="s">
        <v>54</v>
      </c>
      <c r="K40" s="94"/>
      <c r="L40" s="94">
        <v>400</v>
      </c>
      <c r="M40" s="94" t="s">
        <v>117</v>
      </c>
      <c r="N40" s="94"/>
      <c r="O40" s="94"/>
      <c r="P40" s="94"/>
      <c r="Q40" s="50"/>
      <c r="R40" s="50"/>
      <c r="S40" s="94" t="s">
        <v>118</v>
      </c>
      <c r="T40" s="51"/>
    </row>
    <row r="41" spans="1:20" ht="25.5" outlineLevel="1">
      <c r="A41" s="111" t="s">
        <v>26</v>
      </c>
      <c r="B41" s="94" t="str">
        <f>IF(C41&lt;&gt;"", "[TC_"&amp;TEXT(ROW()-14-COUNTBLANK(E$15:$E41),"###")&amp;"]","")</f>
        <v>[TC_27]</v>
      </c>
      <c r="C41" s="94" t="s">
        <v>88</v>
      </c>
      <c r="D41" s="94"/>
      <c r="E41" s="94" t="s">
        <v>35</v>
      </c>
      <c r="F41" s="94" t="s">
        <v>50</v>
      </c>
      <c r="G41" s="94" t="s">
        <v>63</v>
      </c>
      <c r="H41" s="94" t="s">
        <v>67</v>
      </c>
      <c r="I41" s="94" t="s">
        <v>54</v>
      </c>
      <c r="J41" s="94" t="s">
        <v>54</v>
      </c>
      <c r="K41" s="94"/>
      <c r="L41" s="94">
        <v>400</v>
      </c>
      <c r="M41" s="94" t="s">
        <v>117</v>
      </c>
      <c r="N41" s="94"/>
      <c r="O41" s="94"/>
      <c r="P41" s="94"/>
      <c r="Q41" s="50"/>
      <c r="R41" s="50"/>
      <c r="S41" s="94" t="s">
        <v>118</v>
      </c>
      <c r="T41" s="51"/>
    </row>
    <row r="42" spans="1:20" ht="25.5" outlineLevel="1">
      <c r="A42" s="111" t="s">
        <v>26</v>
      </c>
      <c r="B42" s="94" t="str">
        <f>IF(C42&lt;&gt;"", "[TC_"&amp;TEXT(ROW()-14-COUNTBLANK(E$15:$E42),"###")&amp;"]","")</f>
        <v>[TC_28]</v>
      </c>
      <c r="C42" s="94" t="s">
        <v>89</v>
      </c>
      <c r="D42" s="94"/>
      <c r="E42" s="94" t="s">
        <v>35</v>
      </c>
      <c r="F42" s="94" t="s">
        <v>50</v>
      </c>
      <c r="G42" s="94" t="s">
        <v>63</v>
      </c>
      <c r="H42" s="94" t="s">
        <v>67</v>
      </c>
      <c r="I42" s="94" t="s">
        <v>54</v>
      </c>
      <c r="J42" s="94" t="s">
        <v>54</v>
      </c>
      <c r="K42" s="94"/>
      <c r="L42" s="94">
        <v>400</v>
      </c>
      <c r="M42" s="94" t="s">
        <v>117</v>
      </c>
      <c r="N42" s="94"/>
      <c r="O42" s="94"/>
      <c r="P42" s="94"/>
      <c r="Q42" s="50"/>
      <c r="R42" s="50"/>
      <c r="S42" s="94" t="s">
        <v>118</v>
      </c>
      <c r="T42" s="51"/>
    </row>
    <row r="43" spans="1:20" ht="25.5" outlineLevel="1">
      <c r="A43" s="111" t="s">
        <v>26</v>
      </c>
      <c r="B43" s="94" t="str">
        <f>IF(C43&lt;&gt;"", "[TC_"&amp;TEXT(ROW()-14-COUNTBLANK(E$15:$E43),"###")&amp;"]","")</f>
        <v>[TC_29]</v>
      </c>
      <c r="C43" s="94" t="s">
        <v>90</v>
      </c>
      <c r="D43" s="94"/>
      <c r="E43" s="94" t="s">
        <v>35</v>
      </c>
      <c r="F43" s="94" t="s">
        <v>50</v>
      </c>
      <c r="G43" s="94" t="s">
        <v>63</v>
      </c>
      <c r="H43" s="94" t="s">
        <v>67</v>
      </c>
      <c r="I43" s="94" t="s">
        <v>54</v>
      </c>
      <c r="J43" s="94" t="s">
        <v>54</v>
      </c>
      <c r="K43" s="94"/>
      <c r="L43" s="94">
        <v>400</v>
      </c>
      <c r="M43" s="94" t="s">
        <v>117</v>
      </c>
      <c r="N43" s="94"/>
      <c r="O43" s="94"/>
      <c r="P43" s="94"/>
      <c r="Q43" s="50"/>
      <c r="R43" s="50"/>
      <c r="S43" s="94" t="s">
        <v>118</v>
      </c>
      <c r="T43" s="51"/>
    </row>
    <row r="44" spans="1:20" ht="25.5" outlineLevel="1">
      <c r="A44" s="111" t="s">
        <v>26</v>
      </c>
      <c r="B44" s="94" t="str">
        <f>IF(C44&lt;&gt;"", "[TC_"&amp;TEXT(ROW()-14-COUNTBLANK(E$15:$E44),"###")&amp;"]","")</f>
        <v>[TC_30]</v>
      </c>
      <c r="C44" s="94" t="s">
        <v>91</v>
      </c>
      <c r="D44" s="94"/>
      <c r="E44" s="94" t="s">
        <v>35</v>
      </c>
      <c r="F44" s="94" t="s">
        <v>50</v>
      </c>
      <c r="G44" s="94" t="s">
        <v>64</v>
      </c>
      <c r="H44" s="94" t="s">
        <v>67</v>
      </c>
      <c r="I44" s="94" t="s">
        <v>54</v>
      </c>
      <c r="J44" s="94" t="s">
        <v>54</v>
      </c>
      <c r="K44" s="94"/>
      <c r="L44" s="94">
        <v>400</v>
      </c>
      <c r="M44" s="94" t="s">
        <v>117</v>
      </c>
      <c r="N44" s="94"/>
      <c r="O44" s="94"/>
      <c r="P44" s="94"/>
      <c r="Q44" s="50"/>
      <c r="R44" s="50"/>
      <c r="S44" s="94" t="s">
        <v>118</v>
      </c>
      <c r="T44" s="51"/>
    </row>
    <row r="45" spans="1:20" ht="25.5" outlineLevel="1">
      <c r="A45" s="111" t="s">
        <v>26</v>
      </c>
      <c r="B45" s="94" t="str">
        <f>IF(C45&lt;&gt;"", "[TC_"&amp;TEXT(ROW()-14-COUNTBLANK(E$15:$E45),"###")&amp;"]","")</f>
        <v>[TC_31]</v>
      </c>
      <c r="C45" s="94" t="s">
        <v>94</v>
      </c>
      <c r="D45" s="94"/>
      <c r="E45" s="94" t="s">
        <v>35</v>
      </c>
      <c r="F45" s="94" t="s">
        <v>50</v>
      </c>
      <c r="G45" s="94" t="s">
        <v>63</v>
      </c>
      <c r="H45" s="94" t="s">
        <v>67</v>
      </c>
      <c r="I45" s="94"/>
      <c r="J45" s="94"/>
      <c r="K45" s="94"/>
      <c r="L45" s="94">
        <v>400</v>
      </c>
      <c r="M45" s="94" t="s">
        <v>117</v>
      </c>
      <c r="N45" s="94"/>
      <c r="O45" s="94"/>
      <c r="P45" s="94"/>
      <c r="Q45" s="50"/>
      <c r="R45" s="50"/>
      <c r="S45" s="94" t="s">
        <v>118</v>
      </c>
      <c r="T45" s="51"/>
    </row>
    <row r="46" spans="1:20" ht="25.5" outlineLevel="1">
      <c r="A46" s="111" t="s">
        <v>26</v>
      </c>
      <c r="B46" s="94" t="str">
        <f>IF(C46&lt;&gt;"", "[TC_"&amp;TEXT(ROW()-14-COUNTBLANK(E$15:$E46),"###")&amp;"]","")</f>
        <v>[TC_32]</v>
      </c>
      <c r="C46" s="127" t="s">
        <v>92</v>
      </c>
      <c r="D46" s="94"/>
      <c r="E46" s="94" t="s">
        <v>35</v>
      </c>
      <c r="F46" s="94" t="s">
        <v>50</v>
      </c>
      <c r="G46" s="94" t="s">
        <v>63</v>
      </c>
      <c r="H46" s="94" t="s">
        <v>67</v>
      </c>
      <c r="I46" s="94" t="s">
        <v>54</v>
      </c>
      <c r="J46" s="94" t="s">
        <v>54</v>
      </c>
      <c r="K46" s="94"/>
      <c r="L46" s="94">
        <v>400</v>
      </c>
      <c r="M46" s="94" t="s">
        <v>117</v>
      </c>
      <c r="N46" s="94"/>
      <c r="O46" s="94"/>
      <c r="P46" s="94"/>
      <c r="Q46" s="50"/>
      <c r="R46" s="50"/>
      <c r="S46" s="94" t="s">
        <v>118</v>
      </c>
      <c r="T46" s="51"/>
    </row>
    <row r="47" spans="1:20" ht="25.5" outlineLevel="1">
      <c r="A47" s="111" t="s">
        <v>26</v>
      </c>
      <c r="B47" s="94" t="str">
        <f>IF(C47&lt;&gt;"", "[TC_"&amp;TEXT(ROW()-14-COUNTBLANK(E$15:$E47),"###")&amp;"]","")</f>
        <v>[TC_33]</v>
      </c>
      <c r="C47" s="127" t="s">
        <v>110</v>
      </c>
      <c r="D47" s="94"/>
      <c r="E47" s="94" t="s">
        <v>35</v>
      </c>
      <c r="F47" s="94" t="s">
        <v>50</v>
      </c>
      <c r="G47" s="94" t="s">
        <v>111</v>
      </c>
      <c r="H47" s="94"/>
      <c r="I47" s="94"/>
      <c r="J47" s="94"/>
      <c r="K47" s="94"/>
      <c r="L47" s="94">
        <v>422</v>
      </c>
      <c r="M47" s="94" t="s">
        <v>117</v>
      </c>
      <c r="N47" s="94"/>
      <c r="O47" s="94"/>
      <c r="P47" s="94"/>
      <c r="Q47" s="50"/>
      <c r="R47" s="50"/>
      <c r="S47" s="94" t="s">
        <v>118</v>
      </c>
      <c r="T47" s="51"/>
    </row>
    <row r="48" spans="1:20" ht="25.5" outlineLevel="1">
      <c r="A48" s="111" t="s">
        <v>26</v>
      </c>
      <c r="B48" s="94" t="str">
        <f>IF(C48&lt;&gt;"", "[TC_"&amp;TEXT(ROW()-14-COUNTBLANK(E$15:$E48),"###")&amp;"]","")</f>
        <v>[TC_34]</v>
      </c>
      <c r="C48" s="127" t="s">
        <v>112</v>
      </c>
      <c r="D48" s="94"/>
      <c r="E48" s="94" t="s">
        <v>35</v>
      </c>
      <c r="F48" s="94" t="s">
        <v>50</v>
      </c>
      <c r="G48" s="94" t="s">
        <v>111</v>
      </c>
      <c r="H48" s="94"/>
      <c r="I48" s="94"/>
      <c r="J48" s="94"/>
      <c r="K48" s="94"/>
      <c r="L48" s="94">
        <v>400</v>
      </c>
      <c r="M48" s="94" t="s">
        <v>117</v>
      </c>
      <c r="N48" s="94"/>
      <c r="O48" s="94"/>
      <c r="P48" s="94"/>
      <c r="Q48" s="50"/>
      <c r="R48" s="50"/>
      <c r="S48" s="94" t="s">
        <v>118</v>
      </c>
      <c r="T48" s="51"/>
    </row>
    <row r="49" spans="1:21" ht="25.5" outlineLevel="1">
      <c r="A49" s="111" t="s">
        <v>26</v>
      </c>
      <c r="B49" s="94" t="str">
        <f>IF(C49&lt;&gt;"", "[TC_"&amp;TEXT(ROW()-14-COUNTBLANK(E$15:$E49),"###")&amp;"]","")</f>
        <v>[TC_35]</v>
      </c>
      <c r="C49" s="127" t="s">
        <v>113</v>
      </c>
      <c r="D49" s="94"/>
      <c r="E49" s="94" t="s">
        <v>35</v>
      </c>
      <c r="F49" s="94" t="s">
        <v>50</v>
      </c>
      <c r="G49" s="94" t="s">
        <v>111</v>
      </c>
      <c r="H49" s="94"/>
      <c r="I49" s="94"/>
      <c r="J49" s="94"/>
      <c r="K49" s="94"/>
      <c r="L49" s="94">
        <v>400</v>
      </c>
      <c r="M49" s="94" t="s">
        <v>117</v>
      </c>
      <c r="N49" s="94"/>
      <c r="O49" s="94"/>
      <c r="P49" s="94"/>
      <c r="Q49" s="50"/>
      <c r="R49" s="50"/>
      <c r="S49" s="94" t="s">
        <v>118</v>
      </c>
      <c r="T49" s="51"/>
    </row>
    <row r="50" spans="1:21" ht="25.5" outlineLevel="1">
      <c r="A50" s="111" t="s">
        <v>26</v>
      </c>
      <c r="B50" s="94" t="str">
        <f>IF(C50&lt;&gt;"", "[TC_"&amp;TEXT(ROW()-14-COUNTBLANK(E$15:$E50),"###")&amp;"]","")</f>
        <v>[TC_36]</v>
      </c>
      <c r="C50" s="127" t="s">
        <v>114</v>
      </c>
      <c r="D50" s="94"/>
      <c r="E50" s="94" t="s">
        <v>35</v>
      </c>
      <c r="F50" s="94" t="s">
        <v>50</v>
      </c>
      <c r="G50" s="94" t="s">
        <v>111</v>
      </c>
      <c r="H50" s="94"/>
      <c r="I50" s="94"/>
      <c r="J50" s="94"/>
      <c r="K50" s="94"/>
      <c r="L50" s="94">
        <v>400</v>
      </c>
      <c r="M50" s="94" t="s">
        <v>117</v>
      </c>
      <c r="N50" s="94"/>
      <c r="O50" s="94"/>
      <c r="P50" s="94"/>
      <c r="Q50" s="50"/>
      <c r="R50" s="50"/>
      <c r="S50" s="94" t="s">
        <v>118</v>
      </c>
      <c r="T50" s="51"/>
    </row>
    <row r="51" spans="1:21" ht="25.5" outlineLevel="1">
      <c r="A51" s="111" t="s">
        <v>26</v>
      </c>
      <c r="B51" s="94" t="str">
        <f>IF(C51&lt;&gt;"", "[TC_"&amp;TEXT(ROW()-14-COUNTBLANK(E$15:$E51),"###")&amp;"]","")</f>
        <v>[TC_37]</v>
      </c>
      <c r="C51" s="94" t="s">
        <v>115</v>
      </c>
      <c r="D51" s="94"/>
      <c r="E51" s="94" t="s">
        <v>35</v>
      </c>
      <c r="F51" s="94" t="s">
        <v>50</v>
      </c>
      <c r="G51" s="94" t="s">
        <v>65</v>
      </c>
      <c r="H51" s="94" t="s">
        <v>52</v>
      </c>
      <c r="I51" s="94" t="s">
        <v>54</v>
      </c>
      <c r="J51" s="94" t="s">
        <v>54</v>
      </c>
      <c r="K51" s="94"/>
      <c r="L51" s="94">
        <v>401</v>
      </c>
      <c r="M51" s="94" t="s">
        <v>117</v>
      </c>
      <c r="N51" s="94"/>
      <c r="O51" s="94"/>
      <c r="P51" s="94"/>
      <c r="Q51" s="50"/>
      <c r="R51" s="50"/>
      <c r="S51" s="94" t="s">
        <v>118</v>
      </c>
      <c r="T51" s="51"/>
    </row>
    <row r="52" spans="1:21" ht="25.5" outlineLevel="1">
      <c r="A52" s="111" t="s">
        <v>26</v>
      </c>
      <c r="B52" s="94" t="str">
        <f>IF(C52&lt;&gt;"", "[TC_"&amp;TEXT(ROW()-14-COUNTBLANK(E$15:$E52),"###")&amp;"]","")</f>
        <v>[TC_38]</v>
      </c>
      <c r="C52" s="94" t="s">
        <v>95</v>
      </c>
      <c r="D52" s="94"/>
      <c r="E52" s="94" t="s">
        <v>35</v>
      </c>
      <c r="F52" s="94" t="s">
        <v>50</v>
      </c>
      <c r="G52" s="94" t="s">
        <v>65</v>
      </c>
      <c r="H52" s="94" t="s">
        <v>67</v>
      </c>
      <c r="I52" s="94" t="s">
        <v>54</v>
      </c>
      <c r="J52" s="94" t="s">
        <v>54</v>
      </c>
      <c r="K52" s="94"/>
      <c r="L52" s="94">
        <v>401</v>
      </c>
      <c r="M52" s="94" t="s">
        <v>117</v>
      </c>
      <c r="N52" s="94"/>
      <c r="O52" s="94"/>
      <c r="P52" s="94"/>
      <c r="Q52" s="50"/>
      <c r="R52" s="50"/>
      <c r="S52" s="94" t="s">
        <v>118</v>
      </c>
      <c r="T52" s="51"/>
    </row>
    <row r="53" spans="1:21" ht="25.5" outlineLevel="1">
      <c r="A53" s="111" t="s">
        <v>26</v>
      </c>
      <c r="B53" s="94" t="str">
        <f>IF(C53&lt;&gt;"", "[TC_"&amp;TEXT(ROW()-14-COUNTBLANK(E$15:$E53),"###")&amp;"]","")</f>
        <v>[TC_39]</v>
      </c>
      <c r="C53" s="94" t="s">
        <v>96</v>
      </c>
      <c r="D53" s="94"/>
      <c r="E53" s="94" t="s">
        <v>35</v>
      </c>
      <c r="F53" s="94" t="s">
        <v>50</v>
      </c>
      <c r="G53" s="94" t="s">
        <v>65</v>
      </c>
      <c r="H53" s="94" t="s">
        <v>67</v>
      </c>
      <c r="I53" s="94" t="s">
        <v>54</v>
      </c>
      <c r="J53" s="94" t="s">
        <v>54</v>
      </c>
      <c r="K53" s="94"/>
      <c r="L53" s="94">
        <v>401</v>
      </c>
      <c r="M53" s="94" t="s">
        <v>117</v>
      </c>
      <c r="N53" s="94"/>
      <c r="O53" s="94"/>
      <c r="P53" s="94"/>
      <c r="Q53" s="50"/>
      <c r="R53" s="50"/>
      <c r="S53" s="94" t="s">
        <v>118</v>
      </c>
      <c r="T53" s="51"/>
    </row>
    <row r="54" spans="1:21" outlineLevel="1">
      <c r="A54" s="111" t="s">
        <v>26</v>
      </c>
      <c r="B54" s="94" t="str">
        <f>IF(C54&lt;&gt;"", "[TC_"&amp;TEXT(ROW()-14-COUNTBLANK(E$15:$E54),"###")&amp;"]","")</f>
        <v>[TC_39]</v>
      </c>
      <c r="C54" s="94" t="s">
        <v>116</v>
      </c>
      <c r="D54" s="94"/>
      <c r="E54" s="94"/>
      <c r="F54" s="94"/>
      <c r="G54" s="94"/>
      <c r="H54" s="94"/>
      <c r="I54" s="94"/>
      <c r="J54" s="94"/>
      <c r="K54" s="94"/>
      <c r="L54" s="94"/>
      <c r="M54" s="94"/>
      <c r="N54" s="94"/>
      <c r="O54" s="94"/>
      <c r="P54" s="94"/>
      <c r="Q54" s="50"/>
      <c r="R54" s="50"/>
      <c r="S54" s="50"/>
      <c r="T54" s="51"/>
    </row>
    <row r="55" spans="1:21">
      <c r="A55" s="84"/>
      <c r="B55" s="85"/>
      <c r="C55" s="85" t="s">
        <v>244</v>
      </c>
      <c r="D55" s="85"/>
      <c r="E55" s="85"/>
      <c r="F55" s="85"/>
      <c r="G55" s="85"/>
      <c r="H55" s="85"/>
      <c r="I55" s="85"/>
      <c r="J55" s="85"/>
      <c r="K55" s="85"/>
      <c r="L55" s="85"/>
      <c r="M55" s="85"/>
      <c r="N55" s="85"/>
      <c r="O55" s="85"/>
      <c r="P55" s="85"/>
      <c r="Q55" s="85"/>
      <c r="R55" s="85"/>
      <c r="S55" s="85"/>
      <c r="T55" s="86"/>
      <c r="U55" s="49"/>
    </row>
    <row r="56" spans="1:21" outlineLevel="1">
      <c r="A56" s="111"/>
      <c r="B56" s="94"/>
      <c r="C56" s="94" t="s">
        <v>246</v>
      </c>
      <c r="D56" s="94"/>
      <c r="E56" s="94"/>
      <c r="F56" s="94"/>
      <c r="G56" s="94"/>
      <c r="H56" s="94"/>
      <c r="I56" s="94"/>
      <c r="J56" s="94"/>
      <c r="K56" s="94"/>
      <c r="L56" s="94"/>
      <c r="M56" s="94"/>
      <c r="N56" s="94"/>
      <c r="O56" s="94"/>
      <c r="P56" s="94"/>
      <c r="Q56" s="94"/>
      <c r="R56" s="94"/>
      <c r="S56" s="94"/>
      <c r="T56" s="51"/>
      <c r="U56" s="49"/>
    </row>
    <row r="57" spans="1:21" ht="63.75" outlineLevel="1">
      <c r="A57" s="111" t="s">
        <v>245</v>
      </c>
      <c r="B57" s="94" t="str">
        <f>IF(C57&lt;&gt;"", "[TC_"&amp;TEXT(ROW()-14-COUNTBLANK(E$15:$E57),"###")&amp;"]","")</f>
        <v>[TC_40]</v>
      </c>
      <c r="C57" s="94" t="s">
        <v>248</v>
      </c>
      <c r="D57" s="94"/>
      <c r="E57" s="94" t="s">
        <v>250</v>
      </c>
      <c r="F57" s="94" t="s">
        <v>50</v>
      </c>
      <c r="G57" s="94" t="s">
        <v>49</v>
      </c>
      <c r="H57" s="94" t="s">
        <v>251</v>
      </c>
      <c r="I57" s="94" t="s">
        <v>54</v>
      </c>
      <c r="J57" s="94" t="s">
        <v>247</v>
      </c>
      <c r="K57" s="94"/>
      <c r="L57" s="94">
        <v>200</v>
      </c>
      <c r="M57" s="94" t="s">
        <v>117</v>
      </c>
      <c r="N57" s="94"/>
      <c r="O57" s="94"/>
      <c r="P57" s="94"/>
      <c r="Q57" s="94"/>
      <c r="R57" s="94"/>
      <c r="S57" s="94" t="s">
        <v>118</v>
      </c>
      <c r="T57" s="51"/>
      <c r="U57" s="49"/>
    </row>
    <row r="58" spans="1:21" ht="25.5" outlineLevel="1">
      <c r="A58" s="111" t="s">
        <v>245</v>
      </c>
      <c r="B58" s="94" t="str">
        <f>IF(C58&lt;&gt;"", "[TC_"&amp;TEXT(ROW()-14-COUNTBLANK(E$15:$E58),"###")&amp;"]","")</f>
        <v>[TC_41]</v>
      </c>
      <c r="C58" s="94" t="s">
        <v>257</v>
      </c>
      <c r="D58" s="94"/>
      <c r="E58" s="94" t="s">
        <v>250</v>
      </c>
      <c r="F58" s="94" t="s">
        <v>50</v>
      </c>
      <c r="G58" s="94" t="s">
        <v>49</v>
      </c>
      <c r="H58" s="94" t="s">
        <v>251</v>
      </c>
      <c r="I58" s="94" t="s">
        <v>54</v>
      </c>
      <c r="J58" s="94" t="s">
        <v>54</v>
      </c>
      <c r="K58" s="94"/>
      <c r="L58" s="94">
        <v>200</v>
      </c>
      <c r="M58" s="94" t="s">
        <v>117</v>
      </c>
      <c r="N58" s="94"/>
      <c r="O58" s="94"/>
      <c r="P58" s="94"/>
      <c r="Q58" s="50"/>
      <c r="R58" s="50"/>
      <c r="S58" s="94" t="s">
        <v>118</v>
      </c>
      <c r="T58" s="51"/>
    </row>
    <row r="59" spans="1:21" ht="25.5" outlineLevel="1">
      <c r="A59" s="111" t="s">
        <v>245</v>
      </c>
      <c r="B59" s="94" t="str">
        <f>IF(C59&lt;&gt;"", "[TC_"&amp;TEXT(ROW()-14-COUNTBLANK(E$15:$E59),"###")&amp;"]","")</f>
        <v>[TC_42]</v>
      </c>
      <c r="C59" s="94" t="s">
        <v>258</v>
      </c>
      <c r="D59" s="94"/>
      <c r="E59" s="94" t="s">
        <v>250</v>
      </c>
      <c r="F59" s="94" t="s">
        <v>50</v>
      </c>
      <c r="G59" s="94" t="s">
        <v>49</v>
      </c>
      <c r="H59" s="94" t="s">
        <v>251</v>
      </c>
      <c r="I59" s="94" t="s">
        <v>54</v>
      </c>
      <c r="J59" s="94" t="s">
        <v>54</v>
      </c>
      <c r="K59" s="94"/>
      <c r="L59" s="94">
        <v>200</v>
      </c>
      <c r="M59" s="94" t="s">
        <v>117</v>
      </c>
      <c r="N59" s="94"/>
      <c r="O59" s="94"/>
      <c r="P59" s="94"/>
      <c r="Q59" s="50"/>
      <c r="R59" s="50"/>
      <c r="S59" s="94" t="s">
        <v>118</v>
      </c>
      <c r="T59" s="51"/>
    </row>
    <row r="60" spans="1:21" ht="25.5" outlineLevel="1">
      <c r="A60" s="111" t="s">
        <v>245</v>
      </c>
      <c r="B60" s="94" t="str">
        <f>IF(C60&lt;&gt;"", "[TC_"&amp;TEXT(ROW()-14-COUNTBLANK(E$15:$E62),"###")&amp;"]","")</f>
        <v>[TC_43]</v>
      </c>
      <c r="C60" s="94" t="s">
        <v>259</v>
      </c>
      <c r="D60" s="94"/>
      <c r="E60" s="94" t="s">
        <v>250</v>
      </c>
      <c r="F60" s="94" t="s">
        <v>50</v>
      </c>
      <c r="G60" s="94" t="s">
        <v>49</v>
      </c>
      <c r="H60" s="94" t="s">
        <v>251</v>
      </c>
      <c r="I60" s="94" t="s">
        <v>54</v>
      </c>
      <c r="J60" s="94" t="s">
        <v>54</v>
      </c>
      <c r="K60" s="94"/>
      <c r="L60" s="94">
        <v>200</v>
      </c>
      <c r="M60" s="94" t="s">
        <v>117</v>
      </c>
      <c r="N60" s="94"/>
      <c r="O60" s="94"/>
      <c r="P60" s="94"/>
      <c r="Q60" s="50"/>
      <c r="R60" s="50"/>
      <c r="S60" s="94" t="s">
        <v>118</v>
      </c>
      <c r="T60" s="51"/>
    </row>
    <row r="61" spans="1:21" ht="25.5" outlineLevel="1">
      <c r="A61" s="111" t="s">
        <v>245</v>
      </c>
      <c r="B61" s="94" t="str">
        <f>IF(C61&lt;&gt;"", "[TC_"&amp;TEXT(ROW()-14-COUNTBLANK(E$15:$E62),"###")&amp;"]","")</f>
        <v>[TC_44]</v>
      </c>
      <c r="C61" s="94" t="s">
        <v>260</v>
      </c>
      <c r="D61" s="94"/>
      <c r="E61" s="94" t="s">
        <v>250</v>
      </c>
      <c r="F61" s="94" t="s">
        <v>50</v>
      </c>
      <c r="G61" s="94" t="s">
        <v>49</v>
      </c>
      <c r="H61" s="94" t="s">
        <v>251</v>
      </c>
      <c r="I61" s="94" t="s">
        <v>54</v>
      </c>
      <c r="J61" s="94" t="s">
        <v>54</v>
      </c>
      <c r="K61" s="94"/>
      <c r="L61" s="94">
        <v>200</v>
      </c>
      <c r="M61" s="94" t="s">
        <v>117</v>
      </c>
      <c r="N61" s="94"/>
      <c r="O61" s="94"/>
      <c r="P61" s="94"/>
      <c r="Q61" s="50"/>
      <c r="R61" s="50"/>
      <c r="S61" s="94" t="s">
        <v>118</v>
      </c>
      <c r="T61" s="51"/>
    </row>
    <row r="62" spans="1:21" ht="25.5" outlineLevel="1">
      <c r="A62" s="111" t="s">
        <v>245</v>
      </c>
      <c r="B62" s="94" t="str">
        <f>IF(C62&lt;&gt;"", "[TC_"&amp;TEXT(ROW()-14-COUNTBLANK(E$15:$E62),"###")&amp;"]","")</f>
        <v>[TC_45]</v>
      </c>
      <c r="C62" s="94" t="s">
        <v>261</v>
      </c>
      <c r="D62" s="94"/>
      <c r="E62" s="94" t="s">
        <v>250</v>
      </c>
      <c r="F62" s="94" t="s">
        <v>50</v>
      </c>
      <c r="G62" s="94" t="s">
        <v>49</v>
      </c>
      <c r="H62" s="94" t="s">
        <v>251</v>
      </c>
      <c r="I62" s="94" t="s">
        <v>54</v>
      </c>
      <c r="J62" s="94" t="s">
        <v>54</v>
      </c>
      <c r="K62" s="94"/>
      <c r="L62" s="94">
        <v>200</v>
      </c>
      <c r="M62" s="94" t="s">
        <v>117</v>
      </c>
      <c r="N62" s="94"/>
      <c r="O62" s="94"/>
      <c r="P62" s="94"/>
      <c r="Q62" s="50"/>
      <c r="R62" s="50"/>
      <c r="S62" s="94" t="s">
        <v>118</v>
      </c>
      <c r="T62" s="51"/>
    </row>
    <row r="63" spans="1:21" ht="25.5" outlineLevel="1">
      <c r="A63" s="111" t="s">
        <v>245</v>
      </c>
      <c r="B63" s="94" t="str">
        <f>IF(C63&lt;&gt;"", "[TC_"&amp;TEXT(ROW()-14-COUNTBLANK(E$15:$E63),"###")&amp;"]","")</f>
        <v>[TC_46]</v>
      </c>
      <c r="C63" s="129" t="s">
        <v>262</v>
      </c>
      <c r="D63" s="94"/>
      <c r="E63" s="94" t="s">
        <v>250</v>
      </c>
      <c r="F63" s="94" t="s">
        <v>50</v>
      </c>
      <c r="G63" s="94" t="s">
        <v>249</v>
      </c>
      <c r="H63" s="94" t="s">
        <v>251</v>
      </c>
      <c r="I63" s="94" t="s">
        <v>54</v>
      </c>
      <c r="J63" s="94" t="s">
        <v>54</v>
      </c>
      <c r="K63" s="94"/>
      <c r="L63" s="94">
        <v>422</v>
      </c>
      <c r="M63" s="94" t="s">
        <v>117</v>
      </c>
      <c r="N63" s="94"/>
      <c r="O63" s="94"/>
      <c r="P63" s="94"/>
      <c r="Q63" s="50"/>
      <c r="R63" s="50"/>
      <c r="S63" s="94" t="s">
        <v>118</v>
      </c>
      <c r="T63" s="51"/>
    </row>
    <row r="64" spans="1:21" ht="25.5" outlineLevel="1">
      <c r="A64" s="111" t="s">
        <v>245</v>
      </c>
      <c r="B64" s="94" t="str">
        <f>IF(C63&lt;&gt;"", "[TC_"&amp;TEXT(ROW()-14-COUNTBLANK(E$15:$E63),"###")&amp;"]","")</f>
        <v>[TC_47]</v>
      </c>
      <c r="C64" s="129" t="s">
        <v>263</v>
      </c>
      <c r="D64" s="94"/>
      <c r="E64" s="94" t="s">
        <v>250</v>
      </c>
      <c r="F64" s="94" t="s">
        <v>50</v>
      </c>
      <c r="G64" s="94" t="s">
        <v>249</v>
      </c>
      <c r="H64" s="94" t="s">
        <v>251</v>
      </c>
      <c r="I64" s="94" t="s">
        <v>54</v>
      </c>
      <c r="J64" s="94" t="s">
        <v>54</v>
      </c>
      <c r="K64" s="94"/>
      <c r="L64" s="94">
        <v>422</v>
      </c>
      <c r="M64" s="94" t="s">
        <v>117</v>
      </c>
      <c r="N64" s="94"/>
      <c r="O64" s="94"/>
      <c r="P64" s="94"/>
      <c r="Q64" s="50"/>
      <c r="R64" s="50"/>
      <c r="S64" s="94" t="s">
        <v>118</v>
      </c>
      <c r="T64" s="51"/>
    </row>
    <row r="65" spans="1:20" outlineLevel="1">
      <c r="A65" s="111" t="s">
        <v>245</v>
      </c>
      <c r="B65" s="94" t="str">
        <f>IF(C64&lt;&gt;"", "[TC_"&amp;TEXT(ROW()-14-COUNTBLANK(E$15:$E64),"###")&amp;"]","")</f>
        <v>[TC_48]</v>
      </c>
      <c r="C65" s="129" t="s">
        <v>252</v>
      </c>
      <c r="D65" s="94"/>
      <c r="E65" s="94" t="s">
        <v>250</v>
      </c>
      <c r="F65" s="94" t="s">
        <v>50</v>
      </c>
      <c r="G65" s="94" t="s">
        <v>249</v>
      </c>
      <c r="H65" s="94"/>
      <c r="I65" s="94"/>
      <c r="J65" s="94"/>
      <c r="K65" s="94"/>
      <c r="L65" s="94">
        <v>422</v>
      </c>
      <c r="M65" s="94"/>
      <c r="N65" s="94"/>
      <c r="O65" s="94"/>
      <c r="P65" s="94"/>
      <c r="Q65" s="50"/>
      <c r="R65" s="50"/>
      <c r="S65" s="94"/>
      <c r="T65" s="51"/>
    </row>
    <row r="66" spans="1:20" outlineLevel="1">
      <c r="A66" s="111" t="s">
        <v>245</v>
      </c>
      <c r="B66" s="94" t="str">
        <f>IF(C65&lt;&gt;"", "[TC_"&amp;TEXT(ROW()-14-COUNTBLANK(E$15:$E65),"###")&amp;"]","")</f>
        <v>[TC_49]</v>
      </c>
      <c r="C66" s="129" t="s">
        <v>253</v>
      </c>
      <c r="D66" s="94"/>
      <c r="E66" s="94" t="s">
        <v>250</v>
      </c>
      <c r="F66" s="94" t="s">
        <v>50</v>
      </c>
      <c r="G66" s="94" t="s">
        <v>249</v>
      </c>
      <c r="H66" s="94"/>
      <c r="I66" s="94"/>
      <c r="J66" s="94"/>
      <c r="K66" s="94"/>
      <c r="L66" s="94">
        <v>422</v>
      </c>
      <c r="M66" s="94"/>
      <c r="N66" s="94"/>
      <c r="O66" s="94"/>
      <c r="P66" s="94"/>
      <c r="Q66" s="50"/>
      <c r="R66" s="50"/>
      <c r="S66" s="94"/>
      <c r="T66" s="51"/>
    </row>
    <row r="67" spans="1:20" outlineLevel="1">
      <c r="A67" s="111"/>
      <c r="B67" s="94" t="str">
        <f>IF(C66&lt;&gt;"", "[TC_"&amp;TEXT(ROW()-14-COUNTBLANK(E$15:$E66),"###")&amp;"]","")</f>
        <v>[TC_50]</v>
      </c>
      <c r="C67" s="130" t="s">
        <v>265</v>
      </c>
      <c r="D67" s="94"/>
      <c r="E67" s="94" t="s">
        <v>250</v>
      </c>
      <c r="F67" s="94" t="s">
        <v>50</v>
      </c>
      <c r="G67" s="94" t="s">
        <v>264</v>
      </c>
      <c r="H67" s="94"/>
      <c r="I67" s="94"/>
      <c r="J67" s="94"/>
      <c r="K67" s="94"/>
      <c r="L67" s="94"/>
      <c r="M67" s="94"/>
      <c r="N67" s="94"/>
      <c r="O67" s="94"/>
      <c r="P67" s="94"/>
      <c r="Q67" s="50"/>
      <c r="R67" s="50"/>
      <c r="S67" s="94"/>
      <c r="T67" s="51"/>
    </row>
    <row r="68" spans="1:20" outlineLevel="1">
      <c r="A68" s="111"/>
      <c r="B68" s="94" t="str">
        <f>IF(C67&lt;&gt;"", "[TC_"&amp;TEXT(ROW()-14-COUNTBLANK(E$15:$E67),"###")&amp;"]","")</f>
        <v>[TC_51]</v>
      </c>
      <c r="C68" s="130" t="s">
        <v>266</v>
      </c>
      <c r="D68" s="94"/>
      <c r="E68" s="94" t="s">
        <v>250</v>
      </c>
      <c r="F68" s="94" t="s">
        <v>50</v>
      </c>
      <c r="G68" s="94" t="s">
        <v>264</v>
      </c>
      <c r="H68" s="94"/>
      <c r="I68" s="94"/>
      <c r="J68" s="94"/>
      <c r="K68" s="94"/>
      <c r="L68" s="94"/>
      <c r="M68" s="94"/>
      <c r="N68" s="94"/>
      <c r="O68" s="94"/>
      <c r="P68" s="94"/>
      <c r="Q68" s="50"/>
      <c r="R68" s="50"/>
      <c r="S68" s="94"/>
      <c r="T68" s="51"/>
    </row>
    <row r="69" spans="1:20" outlineLevel="1">
      <c r="A69" s="111"/>
      <c r="B69" s="94" t="str">
        <f>IF(C68&lt;&gt;"", "[TC_"&amp;TEXT(ROW()-14-COUNTBLANK(E$15:$E68),"###")&amp;"]","")</f>
        <v>[TC_52]</v>
      </c>
      <c r="C69" s="130" t="s">
        <v>267</v>
      </c>
      <c r="D69" s="94"/>
      <c r="E69" s="94" t="s">
        <v>250</v>
      </c>
      <c r="F69" s="94" t="s">
        <v>50</v>
      </c>
      <c r="G69" s="94" t="s">
        <v>264</v>
      </c>
      <c r="H69" s="94"/>
      <c r="I69" s="94"/>
      <c r="J69" s="94"/>
      <c r="K69" s="94"/>
      <c r="L69" s="94"/>
      <c r="M69" s="94"/>
      <c r="N69" s="94"/>
      <c r="O69" s="94"/>
      <c r="P69" s="94"/>
      <c r="Q69" s="50"/>
      <c r="R69" s="50"/>
      <c r="S69" s="94"/>
      <c r="T69" s="51"/>
    </row>
    <row r="70" spans="1:20" outlineLevel="1">
      <c r="A70" s="111" t="s">
        <v>245</v>
      </c>
      <c r="B70" s="94" t="str">
        <f>IF(C66&lt;&gt;"", "[TC_"&amp;TEXT(ROW()-14-COUNTBLANK(E$15:$E66),"###")&amp;"]","")</f>
        <v>[TC_53]</v>
      </c>
      <c r="C70" s="101" t="s">
        <v>256</v>
      </c>
      <c r="D70" s="94"/>
      <c r="E70" s="94" t="s">
        <v>250</v>
      </c>
      <c r="F70" s="94" t="s">
        <v>50</v>
      </c>
      <c r="G70" s="94" t="s">
        <v>269</v>
      </c>
      <c r="H70" s="94"/>
      <c r="I70" s="94"/>
      <c r="J70" s="94"/>
      <c r="K70" s="94"/>
      <c r="L70" s="94">
        <v>422</v>
      </c>
      <c r="M70" s="94"/>
      <c r="N70" s="94"/>
      <c r="O70" s="94"/>
      <c r="P70" s="94"/>
      <c r="Q70" s="50"/>
      <c r="R70" s="50"/>
      <c r="S70" s="94"/>
      <c r="T70" s="51"/>
    </row>
    <row r="71" spans="1:20" outlineLevel="1">
      <c r="A71" s="111" t="s">
        <v>245</v>
      </c>
      <c r="B71" s="94" t="str">
        <f>IF(C70&lt;&gt;"", "[TC_"&amp;TEXT(ROW()-14-COUNTBLANK(E$15:$E70),"###")&amp;"]","")</f>
        <v>[TC_54]</v>
      </c>
      <c r="C71" s="101" t="s">
        <v>255</v>
      </c>
      <c r="D71" s="94"/>
      <c r="E71" s="94" t="s">
        <v>250</v>
      </c>
      <c r="F71" s="94" t="s">
        <v>50</v>
      </c>
      <c r="G71" s="94" t="s">
        <v>269</v>
      </c>
      <c r="H71" s="94"/>
      <c r="I71" s="94"/>
      <c r="J71" s="94"/>
      <c r="K71" s="94"/>
      <c r="L71" s="94">
        <v>422</v>
      </c>
      <c r="M71" s="94"/>
      <c r="N71" s="94"/>
      <c r="O71" s="94"/>
      <c r="P71" s="94"/>
      <c r="Q71" s="50"/>
      <c r="R71" s="50"/>
      <c r="S71" s="94"/>
      <c r="T71" s="51"/>
    </row>
    <row r="72" spans="1:20" outlineLevel="1">
      <c r="A72" s="111" t="s">
        <v>245</v>
      </c>
      <c r="B72" s="94" t="str">
        <f>IF(C71&lt;&gt;"", "[TC_"&amp;TEXT(ROW()-14-COUNTBLANK(E$15:$E71),"###")&amp;"]","")</f>
        <v>[TC_55]</v>
      </c>
      <c r="C72" s="101" t="s">
        <v>254</v>
      </c>
      <c r="D72" s="94"/>
      <c r="E72" s="94" t="s">
        <v>250</v>
      </c>
      <c r="F72" s="94" t="s">
        <v>50</v>
      </c>
      <c r="G72" s="94" t="s">
        <v>269</v>
      </c>
      <c r="H72" s="94"/>
      <c r="I72" s="94"/>
      <c r="J72" s="94"/>
      <c r="K72" s="94"/>
      <c r="L72" s="94"/>
      <c r="M72" s="94"/>
      <c r="N72" s="94"/>
      <c r="O72" s="94"/>
      <c r="P72" s="94"/>
      <c r="Q72" s="50"/>
      <c r="R72" s="50"/>
      <c r="S72" s="94"/>
      <c r="T72" s="51"/>
    </row>
    <row r="73" spans="1:20" outlineLevel="1">
      <c r="A73" s="111" t="s">
        <v>245</v>
      </c>
      <c r="B73" s="94" t="str">
        <f>IF(C72&lt;&gt;"", "[TC_"&amp;TEXT(ROW()-14-COUNTBLANK(E$15:$E72),"###")&amp;"]","")</f>
        <v>[TC_56]</v>
      </c>
      <c r="C73" s="101" t="s">
        <v>268</v>
      </c>
      <c r="D73" s="94"/>
      <c r="E73" s="94" t="s">
        <v>250</v>
      </c>
      <c r="F73" s="94" t="s">
        <v>50</v>
      </c>
      <c r="G73" s="94" t="s">
        <v>269</v>
      </c>
      <c r="H73" s="94"/>
      <c r="I73" s="94"/>
      <c r="J73" s="94"/>
      <c r="K73" s="94"/>
      <c r="L73" s="94"/>
      <c r="M73" s="94"/>
      <c r="N73" s="94"/>
      <c r="O73" s="94"/>
      <c r="P73" s="94"/>
      <c r="Q73" s="50"/>
      <c r="R73" s="50"/>
      <c r="S73" s="94"/>
      <c r="T73" s="51"/>
    </row>
    <row r="74" spans="1:20" outlineLevel="1">
      <c r="A74" s="111" t="s">
        <v>245</v>
      </c>
      <c r="B74" s="94" t="str">
        <f>IF(C73&lt;&gt;"", "[TC_"&amp;TEXT(ROW()-14-COUNTBLANK(E$15:$E73),"###")&amp;"]","")</f>
        <v>[TC_57]</v>
      </c>
      <c r="C74" s="101"/>
      <c r="D74" s="94"/>
      <c r="E74" s="94" t="s">
        <v>250</v>
      </c>
      <c r="F74" s="94" t="s">
        <v>50</v>
      </c>
      <c r="G74" s="94" t="s">
        <v>269</v>
      </c>
      <c r="H74" s="94"/>
      <c r="I74" s="94"/>
      <c r="J74" s="94"/>
      <c r="K74" s="94"/>
      <c r="L74" s="94">
        <v>200</v>
      </c>
      <c r="M74" s="94"/>
      <c r="N74" s="94"/>
      <c r="O74" s="94"/>
      <c r="P74" s="94"/>
      <c r="Q74" s="50"/>
      <c r="R74" s="50"/>
      <c r="S74" s="94"/>
      <c r="T74" s="51"/>
    </row>
    <row r="75" spans="1:20" outlineLevel="1">
      <c r="A75" s="111" t="s">
        <v>245</v>
      </c>
      <c r="B75" s="94" t="str">
        <f>IF(C74&lt;&gt;"", "[TC_"&amp;TEXT(ROW()-14-COUNTBLANK(E$15:$E74),"###")&amp;"]","")</f>
        <v/>
      </c>
      <c r="C75" s="94"/>
      <c r="D75" s="94"/>
      <c r="E75" s="94" t="s">
        <v>250</v>
      </c>
      <c r="F75" s="94" t="s">
        <v>50</v>
      </c>
      <c r="G75" s="94"/>
      <c r="H75" s="94"/>
      <c r="I75" s="94"/>
      <c r="J75" s="94"/>
      <c r="K75" s="94"/>
      <c r="L75" s="94"/>
      <c r="M75" s="94"/>
      <c r="N75" s="94"/>
      <c r="O75" s="94"/>
      <c r="P75" s="94"/>
      <c r="Q75" s="50"/>
      <c r="R75" s="50"/>
      <c r="S75" s="94"/>
      <c r="T75" s="51"/>
    </row>
    <row r="76" spans="1:20" outlineLevel="1">
      <c r="A76" s="111" t="s">
        <v>245</v>
      </c>
      <c r="B76" s="94" t="str">
        <f>IF(C73&lt;&gt;"", "[TC_"&amp;TEXT(ROW()-14-COUNTBLANK(E$15:$E73),"###")&amp;"]","")</f>
        <v>[TC_59]</v>
      </c>
      <c r="C76" s="94"/>
      <c r="D76" s="94"/>
      <c r="E76" s="94" t="s">
        <v>250</v>
      </c>
      <c r="F76" s="94" t="s">
        <v>50</v>
      </c>
      <c r="G76" s="94"/>
      <c r="H76" s="94"/>
      <c r="I76" s="94"/>
      <c r="J76" s="94"/>
      <c r="K76" s="94"/>
      <c r="L76" s="94"/>
      <c r="M76" s="94"/>
      <c r="N76" s="94"/>
      <c r="O76" s="94"/>
      <c r="P76" s="94"/>
      <c r="Q76" s="50"/>
      <c r="R76" s="50"/>
      <c r="S76" s="94"/>
      <c r="T76" s="51"/>
    </row>
    <row r="77" spans="1:20" outlineLevel="1">
      <c r="A77" s="111" t="s">
        <v>245</v>
      </c>
      <c r="B77" s="94" t="str">
        <f>IF(C74&lt;&gt;"", "[TC_"&amp;TEXT(ROW()-14-COUNTBLANK(E$15:$E74),"###")&amp;"]","")</f>
        <v/>
      </c>
      <c r="C77" s="94"/>
      <c r="D77" s="94"/>
      <c r="E77" s="94" t="s">
        <v>250</v>
      </c>
      <c r="F77" s="94"/>
      <c r="G77" s="94"/>
      <c r="H77" s="94"/>
      <c r="I77" s="94"/>
      <c r="J77" s="94"/>
      <c r="K77" s="94"/>
      <c r="L77" s="94"/>
      <c r="M77" s="94"/>
      <c r="N77" s="94"/>
      <c r="O77" s="94"/>
      <c r="P77" s="94"/>
      <c r="Q77" s="50"/>
      <c r="R77" s="50"/>
      <c r="S77" s="94"/>
      <c r="T77" s="51"/>
    </row>
    <row r="78" spans="1:20" outlineLevel="1">
      <c r="A78" s="111" t="s">
        <v>245</v>
      </c>
      <c r="B78" s="94" t="str">
        <f>IF(C75&lt;&gt;"", "[TC_"&amp;TEXT(ROW()-14-COUNTBLANK(E$15:$E75),"###")&amp;"]","")</f>
        <v/>
      </c>
      <c r="C78" s="94"/>
      <c r="D78" s="94"/>
      <c r="E78" s="94" t="s">
        <v>250</v>
      </c>
      <c r="F78" s="94"/>
      <c r="G78" s="94"/>
      <c r="H78" s="94"/>
      <c r="I78" s="94"/>
      <c r="J78" s="94"/>
      <c r="K78" s="94"/>
      <c r="L78" s="94"/>
      <c r="M78" s="94"/>
      <c r="N78" s="94"/>
      <c r="O78" s="94"/>
      <c r="P78" s="94"/>
      <c r="Q78" s="50"/>
      <c r="R78" s="50"/>
      <c r="S78" s="94"/>
      <c r="T78" s="51"/>
    </row>
    <row r="79" spans="1:20" outlineLevel="1">
      <c r="A79" s="111" t="s">
        <v>245</v>
      </c>
      <c r="B79" s="94" t="str">
        <f>IF(C76&lt;&gt;"", "[TC_"&amp;TEXT(ROW()-14-COUNTBLANK(E$15:$E76),"###")&amp;"]","")</f>
        <v/>
      </c>
      <c r="C79" s="94"/>
      <c r="D79" s="94"/>
      <c r="E79" s="94" t="s">
        <v>250</v>
      </c>
      <c r="F79" s="94"/>
      <c r="G79" s="94"/>
      <c r="H79" s="94"/>
      <c r="I79" s="94"/>
      <c r="J79" s="94"/>
      <c r="K79" s="94"/>
      <c r="L79" s="94"/>
      <c r="M79" s="94"/>
      <c r="N79" s="94"/>
      <c r="O79" s="94"/>
      <c r="P79" s="94"/>
      <c r="Q79" s="50"/>
      <c r="R79" s="50"/>
      <c r="S79" s="94"/>
      <c r="T79" s="51"/>
    </row>
    <row r="80" spans="1:20" outlineLevel="1">
      <c r="A80" s="111" t="s">
        <v>245</v>
      </c>
      <c r="B80" s="94" t="str">
        <f>IF(C77&lt;&gt;"", "[TC_"&amp;TEXT(ROW()-14-COUNTBLANK(E$15:$E77),"###")&amp;"]","")</f>
        <v/>
      </c>
      <c r="C80" s="94"/>
      <c r="D80" s="94"/>
      <c r="E80" s="94" t="s">
        <v>250</v>
      </c>
      <c r="F80" s="94"/>
      <c r="G80" s="94"/>
      <c r="H80" s="94"/>
      <c r="I80" s="94"/>
      <c r="J80" s="94"/>
      <c r="K80" s="94"/>
      <c r="L80" s="94"/>
      <c r="M80" s="94"/>
      <c r="N80" s="94"/>
      <c r="O80" s="94"/>
      <c r="P80" s="94"/>
      <c r="Q80" s="50"/>
      <c r="R80" s="50"/>
      <c r="S80" s="94"/>
      <c r="T80" s="51"/>
    </row>
    <row r="81" spans="1:20" outlineLevel="1">
      <c r="A81" s="111" t="s">
        <v>245</v>
      </c>
      <c r="B81" s="94" t="str">
        <f>IF(C78&lt;&gt;"", "[TC_"&amp;TEXT(ROW()-14-COUNTBLANK(E$15:$E78),"###")&amp;"]","")</f>
        <v/>
      </c>
      <c r="C81" s="94"/>
      <c r="D81" s="94"/>
      <c r="E81" s="94" t="s">
        <v>250</v>
      </c>
      <c r="F81" s="94"/>
      <c r="G81" s="94"/>
      <c r="H81" s="94"/>
      <c r="I81" s="94"/>
      <c r="J81" s="94"/>
      <c r="K81" s="94"/>
      <c r="L81" s="94"/>
      <c r="M81" s="94"/>
      <c r="N81" s="94"/>
      <c r="O81" s="94"/>
      <c r="P81" s="94"/>
      <c r="Q81" s="50"/>
      <c r="R81" s="50"/>
      <c r="S81" s="94"/>
      <c r="T81" s="51"/>
    </row>
    <row r="82" spans="1:20" outlineLevel="1">
      <c r="A82" s="111" t="s">
        <v>245</v>
      </c>
      <c r="B82" s="94" t="str">
        <f>IF(C79&lt;&gt;"", "[TC_"&amp;TEXT(ROW()-14-COUNTBLANK(E$15:$E79),"###")&amp;"]","")</f>
        <v/>
      </c>
      <c r="C82" s="94"/>
      <c r="D82" s="94"/>
      <c r="E82" s="94" t="s">
        <v>250</v>
      </c>
      <c r="F82" s="94"/>
      <c r="G82" s="94"/>
      <c r="H82" s="94"/>
      <c r="I82" s="94"/>
      <c r="J82" s="94"/>
      <c r="K82" s="94"/>
      <c r="L82" s="94"/>
      <c r="M82" s="94"/>
      <c r="N82" s="94"/>
      <c r="O82" s="94"/>
      <c r="P82" s="94"/>
      <c r="Q82" s="50"/>
      <c r="R82" s="50"/>
      <c r="S82" s="94"/>
      <c r="T82" s="51"/>
    </row>
    <row r="83" spans="1:20" outlineLevel="1">
      <c r="A83" s="111" t="s">
        <v>245</v>
      </c>
      <c r="B83" s="94" t="str">
        <f>IF(C80&lt;&gt;"", "[TC_"&amp;TEXT(ROW()-14-COUNTBLANK(E$15:$E80),"###")&amp;"]","")</f>
        <v/>
      </c>
      <c r="C83" s="94"/>
      <c r="D83" s="94"/>
      <c r="E83" s="94" t="s">
        <v>250</v>
      </c>
      <c r="F83" s="94"/>
      <c r="G83" s="94"/>
      <c r="H83" s="94"/>
      <c r="I83" s="94"/>
      <c r="J83" s="94"/>
      <c r="K83" s="94"/>
      <c r="L83" s="94"/>
      <c r="M83" s="94"/>
      <c r="N83" s="94"/>
      <c r="O83" s="94"/>
      <c r="P83" s="94"/>
      <c r="Q83" s="50"/>
      <c r="R83" s="50"/>
      <c r="S83" s="94"/>
      <c r="T83" s="51"/>
    </row>
    <row r="84" spans="1:20" outlineLevel="1">
      <c r="A84" s="111"/>
      <c r="B84" s="94"/>
      <c r="C84" s="101"/>
      <c r="D84" s="94"/>
      <c r="E84" s="94"/>
      <c r="F84" s="94"/>
      <c r="G84" s="94"/>
      <c r="H84" s="94"/>
      <c r="I84" s="94"/>
      <c r="J84" s="94"/>
      <c r="K84" s="94"/>
      <c r="L84" s="94"/>
      <c r="M84" s="94"/>
      <c r="N84" s="94"/>
      <c r="O84" s="94"/>
      <c r="P84" s="94"/>
      <c r="Q84" s="50"/>
      <c r="R84" s="50"/>
      <c r="S84" s="94"/>
      <c r="T84" s="51"/>
    </row>
    <row r="85" spans="1:20" outlineLevel="1">
      <c r="A85" s="111"/>
      <c r="B85" s="94"/>
      <c r="C85" s="101"/>
      <c r="D85" s="94"/>
      <c r="E85" s="94"/>
      <c r="F85" s="94"/>
      <c r="G85" s="94"/>
      <c r="H85" s="94"/>
      <c r="I85" s="94"/>
      <c r="J85" s="94"/>
      <c r="K85" s="94"/>
      <c r="L85" s="94"/>
      <c r="M85" s="94"/>
      <c r="N85" s="94"/>
      <c r="O85" s="94"/>
      <c r="P85" s="94"/>
      <c r="Q85" s="50"/>
      <c r="R85" s="50"/>
      <c r="S85" s="94"/>
      <c r="T85" s="51"/>
    </row>
    <row r="86" spans="1:20" outlineLevel="1">
      <c r="A86" s="111"/>
      <c r="B86" s="94"/>
      <c r="C86" s="101"/>
      <c r="D86" s="94"/>
      <c r="E86" s="94"/>
      <c r="F86" s="94"/>
      <c r="G86" s="94"/>
      <c r="H86" s="94"/>
      <c r="I86" s="94"/>
      <c r="J86" s="94"/>
      <c r="K86" s="94"/>
      <c r="L86" s="94"/>
      <c r="M86" s="94"/>
      <c r="N86" s="94"/>
      <c r="O86" s="94"/>
      <c r="P86" s="94"/>
      <c r="Q86" s="50"/>
      <c r="R86" s="50"/>
      <c r="S86" s="94"/>
      <c r="T86" s="51"/>
    </row>
    <row r="87" spans="1:20" outlineLevel="1">
      <c r="A87" s="111"/>
      <c r="B87" s="94"/>
      <c r="C87" s="101"/>
      <c r="D87" s="94"/>
      <c r="E87" s="94"/>
      <c r="F87" s="94"/>
      <c r="G87" s="94"/>
      <c r="H87" s="94"/>
      <c r="I87" s="94"/>
      <c r="J87" s="94"/>
      <c r="K87" s="94"/>
      <c r="L87" s="94"/>
      <c r="M87" s="94"/>
      <c r="N87" s="94"/>
      <c r="O87" s="94"/>
      <c r="P87" s="94"/>
      <c r="Q87" s="50"/>
      <c r="R87" s="50"/>
      <c r="S87" s="94"/>
      <c r="T87" s="51"/>
    </row>
    <row r="88" spans="1:20" outlineLevel="1">
      <c r="A88" s="111"/>
      <c r="B88" s="94"/>
      <c r="C88" s="101"/>
      <c r="D88" s="94"/>
      <c r="E88" s="94"/>
      <c r="F88" s="94"/>
      <c r="G88" s="94"/>
      <c r="H88" s="94"/>
      <c r="I88" s="94"/>
      <c r="J88" s="94"/>
      <c r="K88" s="94"/>
      <c r="L88" s="94"/>
      <c r="M88" s="94"/>
      <c r="N88" s="94"/>
      <c r="O88" s="94"/>
      <c r="P88" s="94"/>
      <c r="Q88" s="50"/>
      <c r="R88" s="50"/>
      <c r="S88" s="94"/>
      <c r="T88" s="51"/>
    </row>
    <row r="89" spans="1:20" outlineLevel="1">
      <c r="A89" s="111"/>
      <c r="B89" s="94"/>
      <c r="C89" s="101"/>
      <c r="D89" s="94"/>
      <c r="E89" s="94"/>
      <c r="F89" s="94"/>
      <c r="G89" s="94"/>
      <c r="H89" s="94"/>
      <c r="I89" s="94"/>
      <c r="J89" s="94"/>
      <c r="K89" s="94"/>
      <c r="L89" s="94"/>
      <c r="M89" s="94"/>
      <c r="N89" s="94"/>
      <c r="O89" s="94"/>
      <c r="P89" s="94"/>
      <c r="Q89" s="50"/>
      <c r="R89" s="50"/>
      <c r="S89" s="94"/>
      <c r="T89" s="51"/>
    </row>
    <row r="90" spans="1:20" outlineLevel="1">
      <c r="A90" s="111"/>
      <c r="B90" s="94"/>
      <c r="C90" s="101"/>
      <c r="D90" s="94"/>
      <c r="E90" s="94"/>
      <c r="F90" s="94"/>
      <c r="G90" s="94"/>
      <c r="H90" s="94"/>
      <c r="I90" s="94"/>
      <c r="J90" s="94"/>
      <c r="K90" s="94"/>
      <c r="L90" s="94"/>
      <c r="M90" s="94"/>
      <c r="N90" s="94"/>
      <c r="O90" s="94"/>
      <c r="P90" s="94"/>
      <c r="Q90" s="50"/>
      <c r="R90" s="50"/>
      <c r="S90" s="94"/>
      <c r="T90" s="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342C-6922-4965-8091-FCF2BEE78624}">
  <dimension ref="A1:N35"/>
  <sheetViews>
    <sheetView zoomScale="85" zoomScaleNormal="85" workbookViewId="0">
      <selection activeCell="F4" sqref="F4"/>
    </sheetView>
  </sheetViews>
  <sheetFormatPr defaultRowHeight="15"/>
  <cols>
    <col min="1" max="1" width="7.42578125" customWidth="1"/>
    <col min="2" max="2" width="25.140625" customWidth="1"/>
    <col min="3" max="3" width="27" customWidth="1"/>
    <col min="4" max="4" width="14.7109375" bestFit="1" customWidth="1"/>
    <col min="5" max="5" width="29.140625" customWidth="1"/>
    <col min="6" max="6" width="23.42578125" customWidth="1"/>
    <col min="7" max="7" width="24.7109375" customWidth="1"/>
    <col min="8" max="8" width="13" customWidth="1"/>
    <col min="9" max="9" width="22.7109375" customWidth="1"/>
    <col min="10" max="10" width="27.5703125" customWidth="1"/>
    <col min="11" max="11" width="38.85546875" customWidth="1"/>
    <col min="12" max="12" width="34.7109375" customWidth="1"/>
    <col min="13" max="14" width="25.140625" customWidth="1"/>
  </cols>
  <sheetData>
    <row r="1" spans="1:14">
      <c r="A1" s="112" t="s">
        <v>119</v>
      </c>
      <c r="B1" s="112" t="s">
        <v>134</v>
      </c>
      <c r="C1" s="112" t="s">
        <v>132</v>
      </c>
      <c r="D1" s="112" t="s">
        <v>133</v>
      </c>
      <c r="E1" s="112" t="s">
        <v>231</v>
      </c>
      <c r="F1" s="113" t="s">
        <v>120</v>
      </c>
      <c r="G1" s="113" t="s">
        <v>121</v>
      </c>
      <c r="H1" s="113" t="s">
        <v>122</v>
      </c>
      <c r="I1" s="113" t="s">
        <v>123</v>
      </c>
      <c r="J1" s="113" t="s">
        <v>124</v>
      </c>
      <c r="K1" s="113" t="s">
        <v>125</v>
      </c>
      <c r="L1" s="113" t="s">
        <v>126</v>
      </c>
      <c r="M1" s="113" t="s">
        <v>127</v>
      </c>
      <c r="N1" s="124" t="s">
        <v>242</v>
      </c>
    </row>
    <row r="2" spans="1:14" ht="30">
      <c r="A2" s="114" t="s">
        <v>150</v>
      </c>
      <c r="B2" s="114" t="s">
        <v>97</v>
      </c>
      <c r="C2" s="114" t="s">
        <v>141</v>
      </c>
      <c r="D2" s="114">
        <v>200</v>
      </c>
      <c r="E2" s="114" t="s">
        <v>232</v>
      </c>
      <c r="F2" s="114" t="s">
        <v>136</v>
      </c>
      <c r="G2" s="114" t="s">
        <v>135</v>
      </c>
      <c r="H2" s="115">
        <v>60000</v>
      </c>
      <c r="I2" s="114" t="s">
        <v>137</v>
      </c>
      <c r="J2" s="116" t="s">
        <v>230</v>
      </c>
      <c r="K2" s="116" t="s">
        <v>230</v>
      </c>
      <c r="L2" s="116" t="s">
        <v>230</v>
      </c>
      <c r="M2" s="116" t="s">
        <v>230</v>
      </c>
    </row>
    <row r="3" spans="1:14" ht="30">
      <c r="A3" s="114" t="s">
        <v>147</v>
      </c>
      <c r="B3" s="114" t="s">
        <v>98</v>
      </c>
      <c r="C3" s="114" t="s">
        <v>141</v>
      </c>
      <c r="D3" s="114">
        <v>200</v>
      </c>
      <c r="E3" s="114" t="s">
        <v>232</v>
      </c>
      <c r="F3" s="114" t="s">
        <v>136</v>
      </c>
      <c r="G3" s="114" t="s">
        <v>135</v>
      </c>
      <c r="H3" s="115">
        <v>60000</v>
      </c>
      <c r="I3" s="114" t="s">
        <v>137</v>
      </c>
      <c r="J3" s="114" t="s">
        <v>138</v>
      </c>
      <c r="K3" s="114" t="s">
        <v>139</v>
      </c>
      <c r="L3" s="114" t="s">
        <v>140</v>
      </c>
      <c r="M3" s="114" t="s">
        <v>144</v>
      </c>
    </row>
    <row r="4" spans="1:14" ht="30">
      <c r="A4" s="114" t="s">
        <v>151</v>
      </c>
      <c r="B4" s="114" t="s">
        <v>152</v>
      </c>
      <c r="C4" s="114" t="s">
        <v>141</v>
      </c>
      <c r="D4" s="114">
        <v>200</v>
      </c>
      <c r="E4" s="114" t="s">
        <v>232</v>
      </c>
      <c r="F4" s="114" t="s">
        <v>136</v>
      </c>
      <c r="G4" s="117" t="s">
        <v>153</v>
      </c>
      <c r="H4" s="115">
        <v>60000</v>
      </c>
      <c r="I4" s="114" t="s">
        <v>137</v>
      </c>
      <c r="J4" s="114" t="s">
        <v>138</v>
      </c>
      <c r="K4" s="114" t="s">
        <v>139</v>
      </c>
      <c r="L4" s="114" t="s">
        <v>140</v>
      </c>
      <c r="M4" s="114" t="s">
        <v>144</v>
      </c>
    </row>
    <row r="5" spans="1:14" ht="45">
      <c r="A5" s="114" t="s">
        <v>154</v>
      </c>
      <c r="B5" s="114" t="s">
        <v>155</v>
      </c>
      <c r="C5" s="114" t="s">
        <v>141</v>
      </c>
      <c r="D5" s="114">
        <v>200</v>
      </c>
      <c r="E5" s="114" t="s">
        <v>232</v>
      </c>
      <c r="F5" s="114" t="s">
        <v>136</v>
      </c>
      <c r="G5" s="117" t="s">
        <v>156</v>
      </c>
      <c r="H5" s="115">
        <v>60000</v>
      </c>
      <c r="I5" s="114" t="s">
        <v>137</v>
      </c>
      <c r="J5" s="114" t="s">
        <v>138</v>
      </c>
      <c r="K5" s="114" t="s">
        <v>139</v>
      </c>
      <c r="L5" s="114" t="s">
        <v>140</v>
      </c>
      <c r="M5" s="114" t="s">
        <v>144</v>
      </c>
    </row>
    <row r="6" spans="1:14" ht="30">
      <c r="A6" s="114" t="s">
        <v>157</v>
      </c>
      <c r="B6" s="114" t="s">
        <v>158</v>
      </c>
      <c r="C6" s="114" t="s">
        <v>141</v>
      </c>
      <c r="D6" s="114">
        <v>200</v>
      </c>
      <c r="E6" s="114" t="s">
        <v>232</v>
      </c>
      <c r="F6" s="114" t="s">
        <v>136</v>
      </c>
      <c r="G6" s="114" t="s">
        <v>135</v>
      </c>
      <c r="H6" s="115">
        <v>60000</v>
      </c>
      <c r="I6" s="114" t="s">
        <v>137</v>
      </c>
      <c r="J6" s="114" t="s">
        <v>138</v>
      </c>
      <c r="K6" s="114" t="s">
        <v>139</v>
      </c>
      <c r="L6" s="117" t="s">
        <v>159</v>
      </c>
      <c r="M6" s="114" t="s">
        <v>144</v>
      </c>
    </row>
    <row r="7" spans="1:14" ht="60">
      <c r="A7" s="114" t="s">
        <v>160</v>
      </c>
      <c r="B7" s="114" t="s">
        <v>161</v>
      </c>
      <c r="C7" s="114" t="s">
        <v>141</v>
      </c>
      <c r="D7" s="114">
        <v>200</v>
      </c>
      <c r="E7" s="114" t="s">
        <v>232</v>
      </c>
      <c r="F7" s="114" t="s">
        <v>136</v>
      </c>
      <c r="G7" s="114" t="s">
        <v>135</v>
      </c>
      <c r="H7" s="115">
        <v>60000</v>
      </c>
      <c r="I7" s="114" t="s">
        <v>137</v>
      </c>
      <c r="J7" s="114" t="s">
        <v>138</v>
      </c>
      <c r="K7" s="114" t="s">
        <v>139</v>
      </c>
      <c r="L7" s="117" t="s">
        <v>162</v>
      </c>
      <c r="M7" s="114" t="s">
        <v>144</v>
      </c>
    </row>
    <row r="8" spans="1:14" ht="59.25" customHeight="1">
      <c r="A8" s="114" t="s">
        <v>163</v>
      </c>
      <c r="B8" s="114" t="s">
        <v>164</v>
      </c>
      <c r="C8" s="114" t="s">
        <v>243</v>
      </c>
      <c r="D8" s="114">
        <v>400</v>
      </c>
      <c r="E8" s="114" t="s">
        <v>232</v>
      </c>
      <c r="F8" s="117" t="s">
        <v>165</v>
      </c>
      <c r="G8" s="114" t="s">
        <v>135</v>
      </c>
      <c r="H8" s="115">
        <v>60000</v>
      </c>
      <c r="I8" s="114" t="s">
        <v>137</v>
      </c>
      <c r="J8" s="114" t="s">
        <v>239</v>
      </c>
      <c r="K8" s="114" t="s">
        <v>139</v>
      </c>
      <c r="L8" s="114" t="s">
        <v>140</v>
      </c>
      <c r="M8" s="114" t="s">
        <v>144</v>
      </c>
    </row>
    <row r="9" spans="1:14" ht="45">
      <c r="A9" s="114" t="s">
        <v>166</v>
      </c>
      <c r="B9" s="114" t="s">
        <v>167</v>
      </c>
      <c r="C9" s="114" t="s">
        <v>141</v>
      </c>
      <c r="D9" s="114">
        <v>200</v>
      </c>
      <c r="E9" s="114" t="s">
        <v>232</v>
      </c>
      <c r="F9" s="117" t="s">
        <v>168</v>
      </c>
      <c r="G9" s="114" t="s">
        <v>135</v>
      </c>
      <c r="H9" s="115">
        <v>60000</v>
      </c>
      <c r="I9" s="114" t="s">
        <v>137</v>
      </c>
      <c r="J9" s="114" t="s">
        <v>138</v>
      </c>
      <c r="K9" s="114" t="s">
        <v>139</v>
      </c>
      <c r="L9" s="114" t="s">
        <v>140</v>
      </c>
      <c r="M9" s="114" t="s">
        <v>144</v>
      </c>
    </row>
    <row r="10" spans="1:14" ht="48" customHeight="1">
      <c r="A10" s="114" t="s">
        <v>169</v>
      </c>
      <c r="B10" s="114" t="s">
        <v>170</v>
      </c>
      <c r="C10" s="114" t="s">
        <v>141</v>
      </c>
      <c r="D10" s="114">
        <v>200</v>
      </c>
      <c r="E10" s="114" t="s">
        <v>232</v>
      </c>
      <c r="F10" s="114" t="s">
        <v>136</v>
      </c>
      <c r="G10" s="114" t="s">
        <v>135</v>
      </c>
      <c r="H10" s="115">
        <v>60000</v>
      </c>
      <c r="I10" s="114" t="s">
        <v>137</v>
      </c>
      <c r="J10" s="117" t="s">
        <v>171</v>
      </c>
      <c r="K10" s="114" t="s">
        <v>139</v>
      </c>
      <c r="L10" s="114" t="s">
        <v>140</v>
      </c>
      <c r="M10" s="114" t="s">
        <v>144</v>
      </c>
    </row>
    <row r="11" spans="1:14" ht="30">
      <c r="A11" s="114" t="s">
        <v>172</v>
      </c>
      <c r="B11" s="114" t="s">
        <v>173</v>
      </c>
      <c r="C11" s="114" t="s">
        <v>141</v>
      </c>
      <c r="D11" s="114">
        <v>200</v>
      </c>
      <c r="E11" s="114" t="s">
        <v>232</v>
      </c>
      <c r="F11" s="114" t="s">
        <v>136</v>
      </c>
      <c r="G11" s="114" t="s">
        <v>135</v>
      </c>
      <c r="H11" s="118">
        <v>9000000000000</v>
      </c>
      <c r="I11" s="114" t="s">
        <v>137</v>
      </c>
      <c r="J11" s="114" t="s">
        <v>138</v>
      </c>
      <c r="K11" s="114" t="s">
        <v>139</v>
      </c>
      <c r="L11" s="114" t="s">
        <v>140</v>
      </c>
      <c r="M11" s="114" t="s">
        <v>144</v>
      </c>
    </row>
    <row r="12" spans="1:14" ht="30">
      <c r="A12" s="114" t="s">
        <v>174</v>
      </c>
      <c r="B12" s="114" t="s">
        <v>175</v>
      </c>
      <c r="C12" s="114" t="s">
        <v>141</v>
      </c>
      <c r="D12" s="114">
        <v>200</v>
      </c>
      <c r="E12" s="114" t="s">
        <v>232</v>
      </c>
      <c r="F12" s="114" t="s">
        <v>136</v>
      </c>
      <c r="G12" s="114" t="s">
        <v>135</v>
      </c>
      <c r="H12" s="115">
        <v>60000</v>
      </c>
      <c r="I12" s="117" t="s">
        <v>137</v>
      </c>
      <c r="J12" s="114" t="s">
        <v>138</v>
      </c>
      <c r="K12" s="114" t="s">
        <v>139</v>
      </c>
      <c r="L12" s="114" t="s">
        <v>140</v>
      </c>
      <c r="M12" s="114" t="s">
        <v>144</v>
      </c>
    </row>
    <row r="13" spans="1:14" ht="30">
      <c r="A13" s="114" t="s">
        <v>176</v>
      </c>
      <c r="B13" s="114" t="s">
        <v>177</v>
      </c>
      <c r="C13" s="114" t="s">
        <v>141</v>
      </c>
      <c r="D13" s="114">
        <v>200</v>
      </c>
      <c r="E13" s="114" t="s">
        <v>232</v>
      </c>
      <c r="F13" s="114" t="s">
        <v>136</v>
      </c>
      <c r="G13" s="114" t="s">
        <v>135</v>
      </c>
      <c r="H13" s="115">
        <v>60000</v>
      </c>
      <c r="I13" s="117" t="s">
        <v>178</v>
      </c>
      <c r="J13" s="114" t="s">
        <v>138</v>
      </c>
      <c r="K13" s="114" t="s">
        <v>139</v>
      </c>
      <c r="L13" s="114" t="s">
        <v>140</v>
      </c>
      <c r="M13" s="114" t="s">
        <v>144</v>
      </c>
    </row>
    <row r="14" spans="1:14" ht="60">
      <c r="A14" s="114" t="s">
        <v>179</v>
      </c>
      <c r="B14" s="114" t="s">
        <v>180</v>
      </c>
      <c r="C14" s="114" t="s">
        <v>141</v>
      </c>
      <c r="D14" s="114">
        <v>200</v>
      </c>
      <c r="E14" s="114" t="s">
        <v>232</v>
      </c>
      <c r="F14" s="114" t="s">
        <v>136</v>
      </c>
      <c r="G14" s="114" t="s">
        <v>135</v>
      </c>
      <c r="H14" s="115">
        <v>60000</v>
      </c>
      <c r="I14" s="114" t="s">
        <v>137</v>
      </c>
      <c r="J14" s="114" t="s">
        <v>138</v>
      </c>
      <c r="K14" s="117" t="s">
        <v>181</v>
      </c>
      <c r="L14" s="114" t="s">
        <v>140</v>
      </c>
      <c r="M14" s="114" t="s">
        <v>144</v>
      </c>
    </row>
    <row r="15" spans="1:14" ht="30">
      <c r="A15" s="114" t="s">
        <v>182</v>
      </c>
      <c r="B15" s="114" t="s">
        <v>183</v>
      </c>
      <c r="C15" s="114" t="s">
        <v>141</v>
      </c>
      <c r="D15" s="114">
        <v>200</v>
      </c>
      <c r="E15" s="114" t="s">
        <v>232</v>
      </c>
      <c r="F15" s="114" t="s">
        <v>136</v>
      </c>
      <c r="G15" s="114" t="s">
        <v>135</v>
      </c>
      <c r="H15" s="115">
        <v>60000</v>
      </c>
      <c r="I15" s="114" t="s">
        <v>137</v>
      </c>
      <c r="J15" s="114" t="s">
        <v>138</v>
      </c>
      <c r="K15" s="117" t="s">
        <v>184</v>
      </c>
      <c r="L15" s="114" t="s">
        <v>140</v>
      </c>
      <c r="M15" s="114" t="s">
        <v>144</v>
      </c>
    </row>
    <row r="16" spans="1:14" ht="30">
      <c r="A16" s="114" t="s">
        <v>185</v>
      </c>
      <c r="B16" s="114" t="s">
        <v>186</v>
      </c>
      <c r="C16" s="114" t="s">
        <v>141</v>
      </c>
      <c r="D16" s="114">
        <v>200</v>
      </c>
      <c r="E16" s="114" t="s">
        <v>232</v>
      </c>
      <c r="F16" s="119" t="s">
        <v>187</v>
      </c>
      <c r="G16" s="114" t="s">
        <v>135</v>
      </c>
      <c r="H16" s="115">
        <v>60000</v>
      </c>
      <c r="I16" s="114" t="s">
        <v>137</v>
      </c>
      <c r="J16" s="114" t="s">
        <v>138</v>
      </c>
      <c r="K16" s="114" t="s">
        <v>139</v>
      </c>
      <c r="L16" s="114" t="s">
        <v>140</v>
      </c>
      <c r="M16" s="114" t="s">
        <v>144</v>
      </c>
    </row>
    <row r="17" spans="1:14" ht="30">
      <c r="A17" s="114" t="s">
        <v>188</v>
      </c>
      <c r="B17" s="114" t="s">
        <v>189</v>
      </c>
      <c r="C17" s="114" t="s">
        <v>141</v>
      </c>
      <c r="D17" s="114">
        <v>200</v>
      </c>
      <c r="E17" s="114" t="s">
        <v>232</v>
      </c>
      <c r="F17" s="117" t="s">
        <v>190</v>
      </c>
      <c r="G17" s="114" t="s">
        <v>135</v>
      </c>
      <c r="H17" s="115">
        <v>60000</v>
      </c>
      <c r="I17" s="114" t="s">
        <v>137</v>
      </c>
      <c r="J17" s="114" t="s">
        <v>138</v>
      </c>
      <c r="K17" s="114" t="s">
        <v>139</v>
      </c>
      <c r="L17" s="114" t="s">
        <v>140</v>
      </c>
      <c r="M17" s="114" t="s">
        <v>144</v>
      </c>
    </row>
    <row r="18" spans="1:14" ht="30">
      <c r="A18" s="120" t="s">
        <v>191</v>
      </c>
      <c r="B18" s="120" t="s">
        <v>192</v>
      </c>
      <c r="C18" s="114"/>
      <c r="D18" s="114">
        <v>422</v>
      </c>
      <c r="E18" s="114" t="s">
        <v>232</v>
      </c>
      <c r="F18" s="114" t="s">
        <v>136</v>
      </c>
      <c r="G18" s="117" t="s">
        <v>184</v>
      </c>
      <c r="H18" s="115">
        <v>60000</v>
      </c>
      <c r="I18" s="114" t="s">
        <v>137</v>
      </c>
      <c r="J18" s="114" t="s">
        <v>138</v>
      </c>
      <c r="K18" s="114" t="s">
        <v>139</v>
      </c>
      <c r="L18" s="114" t="s">
        <v>140</v>
      </c>
      <c r="M18" s="114" t="s">
        <v>144</v>
      </c>
    </row>
    <row r="19" spans="1:14" ht="30">
      <c r="A19" s="120" t="s">
        <v>193</v>
      </c>
      <c r="B19" s="120" t="s">
        <v>93</v>
      </c>
      <c r="C19" s="114" t="s">
        <v>141</v>
      </c>
      <c r="D19" s="114">
        <v>200</v>
      </c>
      <c r="E19" s="114" t="s">
        <v>232</v>
      </c>
      <c r="F19" s="114" t="s">
        <v>136</v>
      </c>
      <c r="G19" s="117" t="s">
        <v>194</v>
      </c>
      <c r="H19" s="115">
        <v>60000</v>
      </c>
      <c r="I19" s="114" t="s">
        <v>137</v>
      </c>
      <c r="J19" s="114" t="s">
        <v>138</v>
      </c>
      <c r="K19" s="114" t="s">
        <v>139</v>
      </c>
      <c r="L19" s="114" t="s">
        <v>140</v>
      </c>
      <c r="M19" s="114" t="s">
        <v>144</v>
      </c>
    </row>
    <row r="20" spans="1:14" ht="30">
      <c r="A20" s="114" t="s">
        <v>143</v>
      </c>
      <c r="B20" s="114" t="s">
        <v>233</v>
      </c>
      <c r="C20" s="114" t="s">
        <v>148</v>
      </c>
      <c r="D20" s="114">
        <v>422</v>
      </c>
      <c r="E20" s="114" t="s">
        <v>232</v>
      </c>
      <c r="F20" s="114" t="s">
        <v>136</v>
      </c>
      <c r="G20" s="116" t="s">
        <v>230</v>
      </c>
      <c r="H20" s="115">
        <v>60000</v>
      </c>
      <c r="I20" s="114" t="s">
        <v>137</v>
      </c>
      <c r="J20" s="114" t="s">
        <v>138</v>
      </c>
      <c r="K20" s="114" t="s">
        <v>139</v>
      </c>
      <c r="L20" s="114" t="s">
        <v>140</v>
      </c>
      <c r="M20" s="114" t="s">
        <v>144</v>
      </c>
    </row>
    <row r="21" spans="1:14" ht="30">
      <c r="A21" s="120" t="s">
        <v>195</v>
      </c>
      <c r="B21" s="120" t="s">
        <v>234</v>
      </c>
      <c r="C21" s="114" t="s">
        <v>141</v>
      </c>
      <c r="D21" s="114">
        <v>422</v>
      </c>
      <c r="E21" s="114" t="s">
        <v>232</v>
      </c>
      <c r="F21" s="117" t="s">
        <v>235</v>
      </c>
      <c r="G21" s="114" t="s">
        <v>135</v>
      </c>
      <c r="H21" s="115">
        <v>60000</v>
      </c>
      <c r="I21" s="114" t="s">
        <v>137</v>
      </c>
      <c r="J21" s="114" t="s">
        <v>138</v>
      </c>
      <c r="K21" s="114" t="s">
        <v>139</v>
      </c>
      <c r="L21" s="114" t="s">
        <v>140</v>
      </c>
      <c r="M21" s="114" t="s">
        <v>144</v>
      </c>
    </row>
    <row r="22" spans="1:14" ht="30">
      <c r="A22" s="114" t="s">
        <v>142</v>
      </c>
      <c r="B22" s="114" t="s">
        <v>236</v>
      </c>
      <c r="C22" s="114" t="s">
        <v>149</v>
      </c>
      <c r="D22" s="114">
        <v>422</v>
      </c>
      <c r="E22" s="114" t="s">
        <v>232</v>
      </c>
      <c r="F22" s="116" t="s">
        <v>230</v>
      </c>
      <c r="G22" s="114" t="s">
        <v>135</v>
      </c>
      <c r="H22" s="115">
        <v>60000</v>
      </c>
      <c r="I22" s="114" t="s">
        <v>137</v>
      </c>
      <c r="J22" s="114" t="s">
        <v>138</v>
      </c>
      <c r="K22" s="114" t="s">
        <v>139</v>
      </c>
      <c r="L22" s="114" t="s">
        <v>140</v>
      </c>
      <c r="M22" s="114" t="s">
        <v>144</v>
      </c>
    </row>
    <row r="23" spans="1:14" ht="30">
      <c r="A23" s="120" t="s">
        <v>198</v>
      </c>
      <c r="B23" s="120" t="s">
        <v>199</v>
      </c>
      <c r="C23" s="114" t="s">
        <v>141</v>
      </c>
      <c r="D23" s="114">
        <v>200</v>
      </c>
      <c r="E23" s="114" t="s">
        <v>232</v>
      </c>
      <c r="F23" s="114" t="s">
        <v>136</v>
      </c>
      <c r="G23" s="114" t="s">
        <v>135</v>
      </c>
      <c r="H23" s="117" t="s">
        <v>235</v>
      </c>
      <c r="I23" s="114" t="s">
        <v>137</v>
      </c>
      <c r="J23" s="114" t="s">
        <v>138</v>
      </c>
      <c r="K23" s="114" t="s">
        <v>139</v>
      </c>
      <c r="L23" s="114" t="s">
        <v>140</v>
      </c>
      <c r="M23" s="114" t="s">
        <v>144</v>
      </c>
      <c r="N23" s="123" t="s">
        <v>240</v>
      </c>
    </row>
    <row r="24" spans="1:14" ht="30">
      <c r="A24" s="114" t="s">
        <v>146</v>
      </c>
      <c r="B24" s="114" t="s">
        <v>200</v>
      </c>
      <c r="C24" s="114" t="s">
        <v>141</v>
      </c>
      <c r="D24" s="114">
        <v>422</v>
      </c>
      <c r="E24" s="114" t="s">
        <v>232</v>
      </c>
      <c r="F24" s="114" t="s">
        <v>136</v>
      </c>
      <c r="G24" s="114" t="s">
        <v>135</v>
      </c>
      <c r="H24" s="116" t="s">
        <v>230</v>
      </c>
      <c r="I24" s="114" t="s">
        <v>137</v>
      </c>
      <c r="J24" s="114" t="s">
        <v>138</v>
      </c>
      <c r="K24" s="114" t="s">
        <v>139</v>
      </c>
      <c r="L24" s="114" t="s">
        <v>140</v>
      </c>
      <c r="M24" s="114" t="s">
        <v>144</v>
      </c>
    </row>
    <row r="25" spans="1:14" ht="30">
      <c r="A25" s="120" t="s">
        <v>201</v>
      </c>
      <c r="B25" s="125" t="s">
        <v>202</v>
      </c>
      <c r="C25" s="126" t="s">
        <v>141</v>
      </c>
      <c r="D25" s="126">
        <v>422</v>
      </c>
      <c r="E25" s="114" t="s">
        <v>232</v>
      </c>
      <c r="F25" s="114" t="s">
        <v>136</v>
      </c>
      <c r="G25" s="114" t="s">
        <v>135</v>
      </c>
      <c r="H25" s="115">
        <v>60000</v>
      </c>
      <c r="I25" s="117" t="s">
        <v>235</v>
      </c>
      <c r="J25" s="114" t="s">
        <v>138</v>
      </c>
      <c r="K25" s="114" t="s">
        <v>139</v>
      </c>
      <c r="L25" s="114" t="s">
        <v>140</v>
      </c>
      <c r="M25" s="114" t="s">
        <v>144</v>
      </c>
    </row>
    <row r="26" spans="1:14" ht="30">
      <c r="A26" s="114" t="s">
        <v>145</v>
      </c>
      <c r="B26" s="114" t="s">
        <v>203</v>
      </c>
      <c r="C26" s="114" t="s">
        <v>141</v>
      </c>
      <c r="D26" s="114">
        <v>200</v>
      </c>
      <c r="E26" s="114" t="s">
        <v>232</v>
      </c>
      <c r="F26" s="114" t="s">
        <v>136</v>
      </c>
      <c r="G26" s="114" t="s">
        <v>135</v>
      </c>
      <c r="H26" s="115">
        <v>60000</v>
      </c>
      <c r="I26" s="116" t="s">
        <v>230</v>
      </c>
      <c r="J26" s="114" t="s">
        <v>138</v>
      </c>
      <c r="K26" s="114" t="s">
        <v>139</v>
      </c>
      <c r="L26" s="114" t="s">
        <v>140</v>
      </c>
      <c r="M26" s="114" t="s">
        <v>144</v>
      </c>
      <c r="N26" s="123" t="s">
        <v>241</v>
      </c>
    </row>
    <row r="27" spans="1:14" ht="30">
      <c r="A27" s="120" t="s">
        <v>204</v>
      </c>
      <c r="B27" s="120" t="s">
        <v>205</v>
      </c>
      <c r="C27" s="126" t="s">
        <v>141</v>
      </c>
      <c r="D27" s="114">
        <v>422</v>
      </c>
      <c r="E27" s="114" t="s">
        <v>232</v>
      </c>
      <c r="F27" s="114" t="s">
        <v>136</v>
      </c>
      <c r="G27" s="114" t="s">
        <v>135</v>
      </c>
      <c r="H27" s="115">
        <v>60000</v>
      </c>
      <c r="I27" s="117" t="s">
        <v>206</v>
      </c>
      <c r="J27" s="114" t="s">
        <v>138</v>
      </c>
      <c r="K27" s="114" t="s">
        <v>139</v>
      </c>
      <c r="L27" s="114" t="s">
        <v>140</v>
      </c>
      <c r="M27" s="114" t="s">
        <v>144</v>
      </c>
    </row>
    <row r="28" spans="1:14" ht="30">
      <c r="A28" s="120" t="s">
        <v>207</v>
      </c>
      <c r="B28" s="120" t="s">
        <v>208</v>
      </c>
      <c r="C28" s="114" t="s">
        <v>141</v>
      </c>
      <c r="D28" s="114">
        <v>422</v>
      </c>
      <c r="E28" s="114" t="s">
        <v>232</v>
      </c>
      <c r="F28" s="114" t="s">
        <v>136</v>
      </c>
      <c r="G28" s="114" t="s">
        <v>135</v>
      </c>
      <c r="H28" s="118">
        <v>-60000</v>
      </c>
      <c r="I28" s="114" t="s">
        <v>137</v>
      </c>
      <c r="J28" s="114" t="s">
        <v>138</v>
      </c>
      <c r="K28" s="114" t="s">
        <v>139</v>
      </c>
      <c r="L28" s="114" t="s">
        <v>140</v>
      </c>
      <c r="M28" s="114" t="s">
        <v>144</v>
      </c>
    </row>
    <row r="29" spans="1:14" ht="30">
      <c r="A29" s="120" t="s">
        <v>209</v>
      </c>
      <c r="B29" s="120" t="s">
        <v>210</v>
      </c>
      <c r="C29" s="114" t="s">
        <v>141</v>
      </c>
      <c r="D29" s="114">
        <v>422</v>
      </c>
      <c r="E29" s="114" t="s">
        <v>232</v>
      </c>
      <c r="F29" s="114" t="s">
        <v>136</v>
      </c>
      <c r="G29" s="114" t="s">
        <v>135</v>
      </c>
      <c r="H29" s="118">
        <v>0</v>
      </c>
      <c r="I29" s="114" t="s">
        <v>137</v>
      </c>
      <c r="J29" s="114" t="s">
        <v>138</v>
      </c>
      <c r="K29" s="114" t="s">
        <v>139</v>
      </c>
      <c r="L29" s="114" t="s">
        <v>140</v>
      </c>
      <c r="M29" s="114" t="s">
        <v>144</v>
      </c>
    </row>
    <row r="30" spans="1:14" ht="30">
      <c r="A30" s="120" t="s">
        <v>211</v>
      </c>
      <c r="B30" s="120" t="s">
        <v>212</v>
      </c>
      <c r="C30" s="114" t="s">
        <v>141</v>
      </c>
      <c r="D30" s="114">
        <v>422</v>
      </c>
      <c r="E30" s="114" t="s">
        <v>232</v>
      </c>
      <c r="F30" s="114" t="s">
        <v>136</v>
      </c>
      <c r="G30" s="114" t="s">
        <v>135</v>
      </c>
      <c r="H30" s="118">
        <v>1000</v>
      </c>
      <c r="I30" s="114" t="s">
        <v>137</v>
      </c>
      <c r="J30" s="114" t="s">
        <v>138</v>
      </c>
      <c r="K30" s="114" t="s">
        <v>139</v>
      </c>
      <c r="L30" s="114" t="s">
        <v>140</v>
      </c>
      <c r="M30" s="114" t="s">
        <v>144</v>
      </c>
    </row>
    <row r="31" spans="1:14" ht="30">
      <c r="A31" s="120" t="s">
        <v>213</v>
      </c>
      <c r="B31" s="120" t="s">
        <v>214</v>
      </c>
      <c r="C31" s="114" t="s">
        <v>243</v>
      </c>
      <c r="D31" s="114">
        <v>404</v>
      </c>
      <c r="E31" s="114" t="s">
        <v>232</v>
      </c>
      <c r="F31" s="114" t="s">
        <v>136</v>
      </c>
      <c r="G31" s="114" t="s">
        <v>135</v>
      </c>
      <c r="H31" s="115">
        <v>60000</v>
      </c>
      <c r="I31" s="114" t="s">
        <v>137</v>
      </c>
      <c r="J31" s="114" t="s">
        <v>138</v>
      </c>
      <c r="K31" s="114" t="s">
        <v>139</v>
      </c>
      <c r="L31" s="114" t="s">
        <v>215</v>
      </c>
      <c r="M31" s="114" t="s">
        <v>144</v>
      </c>
    </row>
    <row r="32" spans="1:14" ht="30">
      <c r="A32" s="120" t="s">
        <v>225</v>
      </c>
      <c r="B32" s="121" t="s">
        <v>115</v>
      </c>
      <c r="C32" s="114" t="s">
        <v>243</v>
      </c>
      <c r="D32" s="114">
        <v>401</v>
      </c>
      <c r="E32" s="122" t="s">
        <v>52</v>
      </c>
      <c r="F32" s="114" t="s">
        <v>136</v>
      </c>
      <c r="G32" s="114" t="s">
        <v>135</v>
      </c>
      <c r="H32" s="115">
        <v>60000</v>
      </c>
      <c r="I32" s="114" t="s">
        <v>137</v>
      </c>
      <c r="J32" s="114" t="s">
        <v>138</v>
      </c>
      <c r="K32" s="114" t="s">
        <v>139</v>
      </c>
      <c r="L32" s="114" t="s">
        <v>140</v>
      </c>
      <c r="M32" s="114" t="s">
        <v>144</v>
      </c>
    </row>
    <row r="33" spans="1:13" ht="30">
      <c r="A33" s="120" t="s">
        <v>226</v>
      </c>
      <c r="B33" s="121" t="s">
        <v>227</v>
      </c>
      <c r="C33" s="114" t="s">
        <v>243</v>
      </c>
      <c r="D33" s="114">
        <v>401</v>
      </c>
      <c r="E33" s="122" t="s">
        <v>237</v>
      </c>
      <c r="F33" s="114" t="s">
        <v>136</v>
      </c>
      <c r="G33" s="114" t="s">
        <v>135</v>
      </c>
      <c r="H33" s="115">
        <v>60000</v>
      </c>
      <c r="I33" s="114" t="s">
        <v>137</v>
      </c>
      <c r="J33" s="114" t="s">
        <v>138</v>
      </c>
      <c r="K33" s="114" t="s">
        <v>139</v>
      </c>
      <c r="L33" s="114" t="s">
        <v>140</v>
      </c>
      <c r="M33" s="114" t="s">
        <v>144</v>
      </c>
    </row>
    <row r="34" spans="1:13" ht="30">
      <c r="A34" s="120" t="s">
        <v>228</v>
      </c>
      <c r="B34" s="121" t="s">
        <v>229</v>
      </c>
      <c r="C34" s="114" t="s">
        <v>243</v>
      </c>
      <c r="D34" s="114">
        <v>401</v>
      </c>
      <c r="E34" s="122" t="s">
        <v>237</v>
      </c>
      <c r="F34" s="114" t="s">
        <v>136</v>
      </c>
      <c r="G34" s="114" t="s">
        <v>135</v>
      </c>
      <c r="H34" s="115">
        <v>60000</v>
      </c>
      <c r="I34" s="114" t="s">
        <v>137</v>
      </c>
      <c r="J34" s="114" t="s">
        <v>138</v>
      </c>
      <c r="K34" s="114" t="s">
        <v>139</v>
      </c>
      <c r="L34" s="114" t="s">
        <v>140</v>
      </c>
      <c r="M34" s="114" t="s">
        <v>144</v>
      </c>
    </row>
    <row r="35" spans="1:13" ht="30">
      <c r="A35" s="120" t="s">
        <v>228</v>
      </c>
      <c r="B35" s="121" t="s">
        <v>116</v>
      </c>
      <c r="C35" s="114" t="s">
        <v>243</v>
      </c>
      <c r="D35" s="114">
        <v>401</v>
      </c>
      <c r="E35" s="122" t="s">
        <v>238</v>
      </c>
      <c r="F35" s="114" t="s">
        <v>136</v>
      </c>
      <c r="G35" s="114" t="s">
        <v>135</v>
      </c>
      <c r="H35" s="115">
        <v>60000</v>
      </c>
      <c r="I35" s="114" t="s">
        <v>137</v>
      </c>
      <c r="J35" s="114" t="s">
        <v>138</v>
      </c>
      <c r="K35" s="114" t="s">
        <v>139</v>
      </c>
      <c r="L35" s="114" t="s">
        <v>140</v>
      </c>
      <c r="M35" s="114" t="s">
        <v>144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C390-F778-4331-8559-A999539A95BA}">
  <dimension ref="A1:P41"/>
  <sheetViews>
    <sheetView topLeftCell="A34" workbookViewId="0">
      <selection activeCell="Q34" sqref="Q34"/>
    </sheetView>
  </sheetViews>
  <sheetFormatPr defaultRowHeight="15"/>
  <sheetData>
    <row r="1" spans="1:16" ht="45">
      <c r="A1" s="102" t="s">
        <v>119</v>
      </c>
      <c r="B1" s="102" t="s">
        <v>134</v>
      </c>
      <c r="C1" s="102" t="s">
        <v>120</v>
      </c>
      <c r="D1" s="102" t="s">
        <v>121</v>
      </c>
      <c r="E1" s="102" t="s">
        <v>122</v>
      </c>
      <c r="F1" s="102" t="s">
        <v>123</v>
      </c>
      <c r="G1" s="102" t="s">
        <v>124</v>
      </c>
      <c r="H1" s="102" t="s">
        <v>125</v>
      </c>
      <c r="I1" s="102" t="s">
        <v>126</v>
      </c>
      <c r="J1" s="102" t="s">
        <v>127</v>
      </c>
      <c r="K1" s="102" t="s">
        <v>128</v>
      </c>
      <c r="L1" s="102" t="s">
        <v>129</v>
      </c>
      <c r="M1" s="102" t="s">
        <v>130</v>
      </c>
      <c r="N1" s="102" t="s">
        <v>131</v>
      </c>
      <c r="O1" s="102" t="s">
        <v>132</v>
      </c>
      <c r="P1" s="102" t="s">
        <v>133</v>
      </c>
    </row>
    <row r="2" spans="1:16" ht="105">
      <c r="A2" s="103" t="s">
        <v>150</v>
      </c>
      <c r="B2" s="103" t="s">
        <v>97</v>
      </c>
      <c r="C2" s="103" t="s">
        <v>136</v>
      </c>
      <c r="D2" s="103" t="s">
        <v>135</v>
      </c>
      <c r="E2" s="105">
        <v>60000</v>
      </c>
      <c r="F2" s="103" t="s">
        <v>137</v>
      </c>
      <c r="G2" s="103"/>
      <c r="H2" s="103"/>
      <c r="I2" s="103"/>
      <c r="J2" s="103"/>
      <c r="K2" s="103" t="b">
        <v>1</v>
      </c>
      <c r="L2" s="103" t="b">
        <v>1</v>
      </c>
      <c r="M2" s="103" t="b">
        <v>1</v>
      </c>
      <c r="N2" s="103" t="b">
        <v>1</v>
      </c>
      <c r="O2" s="103" t="s">
        <v>141</v>
      </c>
      <c r="P2" s="103">
        <v>200</v>
      </c>
    </row>
    <row r="3" spans="1:16" ht="150">
      <c r="A3" s="103" t="s">
        <v>147</v>
      </c>
      <c r="B3" s="103" t="s">
        <v>98</v>
      </c>
      <c r="C3" s="103" t="s">
        <v>136</v>
      </c>
      <c r="D3" s="103" t="s">
        <v>135</v>
      </c>
      <c r="E3" s="105">
        <v>60000</v>
      </c>
      <c r="F3" s="103" t="s">
        <v>137</v>
      </c>
      <c r="G3" s="103" t="s">
        <v>138</v>
      </c>
      <c r="H3" s="103" t="s">
        <v>139</v>
      </c>
      <c r="I3" s="103"/>
      <c r="J3" s="103" t="s">
        <v>144</v>
      </c>
      <c r="K3" s="103" t="b">
        <v>1</v>
      </c>
      <c r="L3" s="103" t="b">
        <v>1</v>
      </c>
      <c r="M3" s="103" t="b">
        <v>1</v>
      </c>
      <c r="N3" s="103" t="b">
        <v>1</v>
      </c>
      <c r="O3" s="103" t="s">
        <v>141</v>
      </c>
      <c r="P3" s="103">
        <v>200</v>
      </c>
    </row>
    <row r="4" spans="1:16" ht="150">
      <c r="A4" s="103" t="s">
        <v>151</v>
      </c>
      <c r="B4" s="103" t="s">
        <v>152</v>
      </c>
      <c r="C4" s="103" t="s">
        <v>136</v>
      </c>
      <c r="D4" s="104" t="s">
        <v>153</v>
      </c>
      <c r="E4" s="105">
        <v>60000</v>
      </c>
      <c r="F4" s="103" t="s">
        <v>137</v>
      </c>
      <c r="G4" s="103" t="s">
        <v>138</v>
      </c>
      <c r="H4" s="103" t="s">
        <v>139</v>
      </c>
      <c r="I4" s="103" t="s">
        <v>140</v>
      </c>
      <c r="J4" s="103" t="s">
        <v>144</v>
      </c>
      <c r="K4" s="103" t="b">
        <v>1</v>
      </c>
      <c r="L4" s="103" t="b">
        <v>1</v>
      </c>
      <c r="M4" s="103" t="b">
        <v>1</v>
      </c>
      <c r="N4" s="103" t="b">
        <v>1</v>
      </c>
      <c r="O4" s="103" t="s">
        <v>141</v>
      </c>
      <c r="P4" s="103">
        <v>200</v>
      </c>
    </row>
    <row r="5" spans="1:16" ht="150">
      <c r="A5" s="103" t="s">
        <v>154</v>
      </c>
      <c r="B5" s="103" t="s">
        <v>155</v>
      </c>
      <c r="C5" s="103" t="s">
        <v>136</v>
      </c>
      <c r="D5" s="104" t="s">
        <v>156</v>
      </c>
      <c r="E5" s="105">
        <v>60000</v>
      </c>
      <c r="F5" s="103" t="s">
        <v>137</v>
      </c>
      <c r="G5" s="103" t="s">
        <v>138</v>
      </c>
      <c r="H5" s="103" t="s">
        <v>139</v>
      </c>
      <c r="I5" s="103" t="s">
        <v>140</v>
      </c>
      <c r="J5" s="103" t="s">
        <v>144</v>
      </c>
      <c r="K5" s="103" t="b">
        <v>1</v>
      </c>
      <c r="L5" s="103" t="b">
        <v>1</v>
      </c>
      <c r="M5" s="103" t="b">
        <v>1</v>
      </c>
      <c r="N5" s="103" t="b">
        <v>1</v>
      </c>
      <c r="O5" s="103" t="s">
        <v>141</v>
      </c>
      <c r="P5" s="103">
        <v>200</v>
      </c>
    </row>
    <row r="6" spans="1:16" ht="150">
      <c r="A6" s="103" t="s">
        <v>157</v>
      </c>
      <c r="B6" s="103" t="s">
        <v>158</v>
      </c>
      <c r="C6" s="103" t="s">
        <v>136</v>
      </c>
      <c r="D6" s="103" t="s">
        <v>135</v>
      </c>
      <c r="E6" s="105">
        <v>60000</v>
      </c>
      <c r="F6" s="103" t="s">
        <v>137</v>
      </c>
      <c r="G6" s="103" t="s">
        <v>138</v>
      </c>
      <c r="H6" s="103" t="s">
        <v>139</v>
      </c>
      <c r="I6" s="104" t="s">
        <v>159</v>
      </c>
      <c r="J6" s="103" t="s">
        <v>144</v>
      </c>
      <c r="K6" s="103" t="b">
        <v>1</v>
      </c>
      <c r="L6" s="103" t="b">
        <v>1</v>
      </c>
      <c r="M6" s="103" t="b">
        <v>1</v>
      </c>
      <c r="N6" s="103" t="b">
        <v>1</v>
      </c>
      <c r="O6" s="103" t="s">
        <v>141</v>
      </c>
      <c r="P6" s="103">
        <v>200</v>
      </c>
    </row>
    <row r="7" spans="1:16" ht="240">
      <c r="A7" s="103" t="s">
        <v>160</v>
      </c>
      <c r="B7" s="103" t="s">
        <v>161</v>
      </c>
      <c r="C7" s="103" t="s">
        <v>136</v>
      </c>
      <c r="D7" s="103" t="s">
        <v>135</v>
      </c>
      <c r="E7" s="105">
        <v>60000</v>
      </c>
      <c r="F7" s="103" t="s">
        <v>137</v>
      </c>
      <c r="G7" s="103" t="s">
        <v>138</v>
      </c>
      <c r="H7" s="103" t="s">
        <v>139</v>
      </c>
      <c r="I7" s="104" t="s">
        <v>162</v>
      </c>
      <c r="J7" s="103" t="s">
        <v>144</v>
      </c>
      <c r="K7" s="103" t="b">
        <v>1</v>
      </c>
      <c r="L7" s="103" t="b">
        <v>1</v>
      </c>
      <c r="M7" s="103" t="b">
        <v>1</v>
      </c>
      <c r="N7" s="103" t="b">
        <v>1</v>
      </c>
      <c r="O7" s="103" t="s">
        <v>141</v>
      </c>
      <c r="P7" s="103">
        <v>200</v>
      </c>
    </row>
    <row r="8" spans="1:16" ht="409.5">
      <c r="A8" s="103" t="s">
        <v>163</v>
      </c>
      <c r="B8" s="103" t="s">
        <v>164</v>
      </c>
      <c r="C8" s="104" t="s">
        <v>165</v>
      </c>
      <c r="D8" s="103" t="s">
        <v>135</v>
      </c>
      <c r="E8" s="105">
        <v>60000</v>
      </c>
      <c r="F8" s="103" t="s">
        <v>137</v>
      </c>
      <c r="G8" s="103" t="s">
        <v>138</v>
      </c>
      <c r="H8" s="103" t="s">
        <v>139</v>
      </c>
      <c r="I8" s="103" t="s">
        <v>140</v>
      </c>
      <c r="J8" s="103" t="s">
        <v>144</v>
      </c>
      <c r="K8" s="103" t="b">
        <v>1</v>
      </c>
      <c r="L8" s="103" t="b">
        <v>1</v>
      </c>
      <c r="M8" s="103" t="b">
        <v>1</v>
      </c>
      <c r="N8" s="103" t="b">
        <v>1</v>
      </c>
      <c r="O8" s="103" t="s">
        <v>141</v>
      </c>
      <c r="P8" s="103">
        <v>200</v>
      </c>
    </row>
    <row r="9" spans="1:16" ht="150">
      <c r="A9" s="103" t="s">
        <v>166</v>
      </c>
      <c r="B9" s="103" t="s">
        <v>167</v>
      </c>
      <c r="C9" s="104" t="s">
        <v>168</v>
      </c>
      <c r="D9" s="103" t="s">
        <v>135</v>
      </c>
      <c r="E9" s="105">
        <v>60000</v>
      </c>
      <c r="F9" s="103" t="s">
        <v>137</v>
      </c>
      <c r="G9" s="103" t="s">
        <v>138</v>
      </c>
      <c r="H9" s="103" t="s">
        <v>139</v>
      </c>
      <c r="I9" s="103" t="s">
        <v>140</v>
      </c>
      <c r="J9" s="103" t="s">
        <v>144</v>
      </c>
      <c r="K9" s="103" t="b">
        <v>1</v>
      </c>
      <c r="L9" s="103" t="b">
        <v>1</v>
      </c>
      <c r="M9" s="103" t="b">
        <v>1</v>
      </c>
      <c r="N9" s="103" t="b">
        <v>1</v>
      </c>
      <c r="O9" s="103" t="s">
        <v>141</v>
      </c>
      <c r="P9" s="103">
        <v>200</v>
      </c>
    </row>
    <row r="10" spans="1:16" ht="409.5">
      <c r="A10" s="103" t="s">
        <v>169</v>
      </c>
      <c r="B10" s="103" t="s">
        <v>170</v>
      </c>
      <c r="C10" s="103" t="s">
        <v>136</v>
      </c>
      <c r="D10" s="103" t="s">
        <v>135</v>
      </c>
      <c r="E10" s="105">
        <v>60000</v>
      </c>
      <c r="F10" s="103" t="s">
        <v>137</v>
      </c>
      <c r="G10" s="104" t="s">
        <v>171</v>
      </c>
      <c r="H10" s="103" t="s">
        <v>139</v>
      </c>
      <c r="I10" s="103" t="s">
        <v>140</v>
      </c>
      <c r="J10" s="103" t="s">
        <v>144</v>
      </c>
      <c r="K10" s="103" t="b">
        <v>1</v>
      </c>
      <c r="L10" s="103" t="b">
        <v>1</v>
      </c>
      <c r="M10" s="103" t="b">
        <v>1</v>
      </c>
      <c r="N10" s="103" t="b">
        <v>1</v>
      </c>
      <c r="O10" s="103" t="s">
        <v>141</v>
      </c>
      <c r="P10" s="103">
        <v>200</v>
      </c>
    </row>
    <row r="11" spans="1:16" ht="150">
      <c r="A11" s="103" t="s">
        <v>172</v>
      </c>
      <c r="B11" s="103" t="s">
        <v>173</v>
      </c>
      <c r="C11" s="103" t="s">
        <v>136</v>
      </c>
      <c r="D11" s="103" t="s">
        <v>135</v>
      </c>
      <c r="E11" s="106">
        <v>9000000000000</v>
      </c>
      <c r="F11" s="103" t="s">
        <v>137</v>
      </c>
      <c r="G11" s="103" t="s">
        <v>138</v>
      </c>
      <c r="H11" s="103" t="s">
        <v>139</v>
      </c>
      <c r="I11" s="103" t="s">
        <v>140</v>
      </c>
      <c r="J11" s="103" t="s">
        <v>144</v>
      </c>
      <c r="K11" s="103" t="b">
        <v>1</v>
      </c>
      <c r="L11" s="103" t="b">
        <v>1</v>
      </c>
      <c r="M11" s="103" t="b">
        <v>1</v>
      </c>
      <c r="N11" s="103" t="b">
        <v>1</v>
      </c>
      <c r="O11" s="103" t="s">
        <v>141</v>
      </c>
      <c r="P11" s="103">
        <v>200</v>
      </c>
    </row>
    <row r="12" spans="1:16" ht="150">
      <c r="A12" s="103" t="s">
        <v>174</v>
      </c>
      <c r="B12" s="103" t="s">
        <v>175</v>
      </c>
      <c r="C12" s="103" t="s">
        <v>136</v>
      </c>
      <c r="D12" s="103" t="s">
        <v>135</v>
      </c>
      <c r="E12" s="105">
        <v>60000</v>
      </c>
      <c r="F12" s="104" t="s">
        <v>137</v>
      </c>
      <c r="G12" s="103" t="s">
        <v>138</v>
      </c>
      <c r="H12" s="103" t="s">
        <v>139</v>
      </c>
      <c r="I12" s="103" t="s">
        <v>140</v>
      </c>
      <c r="J12" s="103" t="s">
        <v>144</v>
      </c>
      <c r="K12" s="103" t="b">
        <v>1</v>
      </c>
      <c r="L12" s="103" t="b">
        <v>1</v>
      </c>
      <c r="M12" s="103" t="b">
        <v>1</v>
      </c>
      <c r="N12" s="103" t="b">
        <v>1</v>
      </c>
      <c r="O12" s="103" t="s">
        <v>141</v>
      </c>
      <c r="P12" s="103">
        <v>200</v>
      </c>
    </row>
    <row r="13" spans="1:16" ht="150">
      <c r="A13" s="103" t="s">
        <v>176</v>
      </c>
      <c r="B13" s="103" t="s">
        <v>177</v>
      </c>
      <c r="C13" s="103" t="s">
        <v>136</v>
      </c>
      <c r="D13" s="103" t="s">
        <v>135</v>
      </c>
      <c r="E13" s="105">
        <v>60000</v>
      </c>
      <c r="F13" s="104" t="s">
        <v>178</v>
      </c>
      <c r="G13" s="103" t="s">
        <v>138</v>
      </c>
      <c r="H13" s="103" t="s">
        <v>139</v>
      </c>
      <c r="I13" s="103" t="s">
        <v>140</v>
      </c>
      <c r="J13" s="103" t="s">
        <v>144</v>
      </c>
      <c r="K13" s="103" t="b">
        <v>1</v>
      </c>
      <c r="L13" s="103" t="b">
        <v>1</v>
      </c>
      <c r="M13" s="103" t="b">
        <v>1</v>
      </c>
      <c r="N13" s="103" t="b">
        <v>1</v>
      </c>
      <c r="O13" s="103" t="s">
        <v>141</v>
      </c>
      <c r="P13" s="103">
        <v>200</v>
      </c>
    </row>
    <row r="14" spans="1:16" ht="300">
      <c r="A14" s="103" t="s">
        <v>179</v>
      </c>
      <c r="B14" s="103" t="s">
        <v>180</v>
      </c>
      <c r="C14" s="103" t="s">
        <v>136</v>
      </c>
      <c r="D14" s="103" t="s">
        <v>135</v>
      </c>
      <c r="E14" s="105">
        <v>60000</v>
      </c>
      <c r="F14" s="103" t="s">
        <v>137</v>
      </c>
      <c r="G14" s="103" t="s">
        <v>138</v>
      </c>
      <c r="H14" s="104" t="s">
        <v>181</v>
      </c>
      <c r="I14" s="103" t="s">
        <v>140</v>
      </c>
      <c r="J14" s="103" t="s">
        <v>144</v>
      </c>
      <c r="K14" s="103" t="b">
        <v>1</v>
      </c>
      <c r="L14" s="103" t="b">
        <v>1</v>
      </c>
      <c r="M14" s="103" t="b">
        <v>1</v>
      </c>
      <c r="N14" s="103" t="b">
        <v>1</v>
      </c>
      <c r="O14" s="103" t="s">
        <v>141</v>
      </c>
      <c r="P14" s="103">
        <v>200</v>
      </c>
    </row>
    <row r="15" spans="1:16" ht="105">
      <c r="A15" s="103" t="s">
        <v>182</v>
      </c>
      <c r="B15" s="103" t="s">
        <v>183</v>
      </c>
      <c r="C15" s="103" t="s">
        <v>136</v>
      </c>
      <c r="D15" s="103" t="s">
        <v>135</v>
      </c>
      <c r="E15" s="105">
        <v>60000</v>
      </c>
      <c r="F15" s="103" t="s">
        <v>137</v>
      </c>
      <c r="G15" s="103" t="s">
        <v>138</v>
      </c>
      <c r="H15" s="104" t="s">
        <v>184</v>
      </c>
      <c r="I15" s="103" t="s">
        <v>140</v>
      </c>
      <c r="J15" s="103" t="s">
        <v>144</v>
      </c>
      <c r="K15" s="103" t="b">
        <v>1</v>
      </c>
      <c r="L15" s="103" t="b">
        <v>1</v>
      </c>
      <c r="M15" s="103" t="b">
        <v>1</v>
      </c>
      <c r="N15" s="103" t="b">
        <v>1</v>
      </c>
      <c r="O15" s="103" t="s">
        <v>141</v>
      </c>
      <c r="P15" s="103">
        <v>200</v>
      </c>
    </row>
    <row r="16" spans="1:16" ht="150">
      <c r="A16" s="103" t="s">
        <v>185</v>
      </c>
      <c r="B16" s="103" t="s">
        <v>186</v>
      </c>
      <c r="C16" s="107" t="s">
        <v>187</v>
      </c>
      <c r="D16" s="103" t="s">
        <v>135</v>
      </c>
      <c r="E16" s="105">
        <v>60000</v>
      </c>
      <c r="F16" s="103" t="s">
        <v>137</v>
      </c>
      <c r="G16" s="103" t="s">
        <v>138</v>
      </c>
      <c r="H16" s="103" t="s">
        <v>139</v>
      </c>
      <c r="I16" s="103" t="s">
        <v>140</v>
      </c>
      <c r="J16" s="103" t="s">
        <v>144</v>
      </c>
      <c r="K16" s="103" t="b">
        <v>1</v>
      </c>
      <c r="L16" s="103" t="b">
        <v>1</v>
      </c>
      <c r="M16" s="103" t="b">
        <v>1</v>
      </c>
      <c r="N16" s="103" t="b">
        <v>1</v>
      </c>
      <c r="O16" s="103" t="s">
        <v>141</v>
      </c>
      <c r="P16" s="103">
        <v>200</v>
      </c>
    </row>
    <row r="17" spans="1:16" ht="150">
      <c r="A17" s="103" t="s">
        <v>188</v>
      </c>
      <c r="B17" s="103" t="s">
        <v>189</v>
      </c>
      <c r="C17" s="104" t="s">
        <v>190</v>
      </c>
      <c r="D17" s="103" t="s">
        <v>135</v>
      </c>
      <c r="E17" s="105">
        <v>60000</v>
      </c>
      <c r="F17" s="103" t="s">
        <v>137</v>
      </c>
      <c r="G17" s="103" t="s">
        <v>138</v>
      </c>
      <c r="H17" s="103" t="s">
        <v>139</v>
      </c>
      <c r="I17" s="103" t="s">
        <v>140</v>
      </c>
      <c r="J17" s="103" t="s">
        <v>144</v>
      </c>
      <c r="K17" s="103" t="b">
        <v>1</v>
      </c>
      <c r="L17" s="103" t="b">
        <v>1</v>
      </c>
      <c r="M17" s="103" t="b">
        <v>1</v>
      </c>
      <c r="N17" s="103" t="b">
        <v>1</v>
      </c>
      <c r="O17" s="103" t="s">
        <v>141</v>
      </c>
      <c r="P17" s="103">
        <v>200</v>
      </c>
    </row>
    <row r="18" spans="1:16" ht="150">
      <c r="A18" s="108" t="s">
        <v>191</v>
      </c>
      <c r="B18" s="108" t="s">
        <v>192</v>
      </c>
      <c r="C18" s="103" t="s">
        <v>136</v>
      </c>
      <c r="D18" s="104" t="s">
        <v>184</v>
      </c>
      <c r="E18" s="105">
        <v>60000</v>
      </c>
      <c r="F18" s="103" t="s">
        <v>137</v>
      </c>
      <c r="G18" s="103" t="s">
        <v>138</v>
      </c>
      <c r="H18" s="103" t="s">
        <v>139</v>
      </c>
      <c r="I18" s="103" t="s">
        <v>140</v>
      </c>
      <c r="J18" s="103" t="s">
        <v>144</v>
      </c>
      <c r="K18" s="103" t="b">
        <v>1</v>
      </c>
      <c r="L18" s="103" t="b">
        <v>1</v>
      </c>
      <c r="M18" s="103" t="b">
        <v>1</v>
      </c>
      <c r="N18" s="103" t="b">
        <v>1</v>
      </c>
      <c r="O18" s="103" t="s">
        <v>141</v>
      </c>
      <c r="P18" s="103">
        <v>422</v>
      </c>
    </row>
    <row r="19" spans="1:16" ht="150">
      <c r="A19" s="108" t="s">
        <v>193</v>
      </c>
      <c r="B19" s="108" t="s">
        <v>93</v>
      </c>
      <c r="C19" s="103" t="s">
        <v>136</v>
      </c>
      <c r="D19" s="104" t="s">
        <v>194</v>
      </c>
      <c r="E19" s="105">
        <v>60000</v>
      </c>
      <c r="F19" s="103" t="s">
        <v>137</v>
      </c>
      <c r="G19" s="103" t="s">
        <v>138</v>
      </c>
      <c r="H19" s="103" t="s">
        <v>139</v>
      </c>
      <c r="I19" s="103" t="s">
        <v>140</v>
      </c>
      <c r="J19" s="103" t="s">
        <v>144</v>
      </c>
      <c r="K19" s="103" t="b">
        <v>1</v>
      </c>
      <c r="L19" s="103" t="b">
        <v>1</v>
      </c>
      <c r="M19" s="103" t="b">
        <v>1</v>
      </c>
      <c r="N19" s="103" t="b">
        <v>1</v>
      </c>
      <c r="O19" s="103" t="s">
        <v>141</v>
      </c>
      <c r="P19" s="103">
        <v>422</v>
      </c>
    </row>
    <row r="20" spans="1:16" ht="150">
      <c r="A20" s="103" t="s">
        <v>143</v>
      </c>
      <c r="B20" s="103" t="s">
        <v>83</v>
      </c>
      <c r="C20" s="103" t="s">
        <v>136</v>
      </c>
      <c r="D20" s="104"/>
      <c r="E20" s="105">
        <v>60000</v>
      </c>
      <c r="F20" s="103" t="s">
        <v>137</v>
      </c>
      <c r="G20" s="103" t="s">
        <v>138</v>
      </c>
      <c r="H20" s="103" t="s">
        <v>139</v>
      </c>
      <c r="I20" s="103" t="s">
        <v>140</v>
      </c>
      <c r="J20" s="103" t="s">
        <v>144</v>
      </c>
      <c r="K20" s="103" t="b">
        <v>1</v>
      </c>
      <c r="L20" s="104" t="b">
        <v>0</v>
      </c>
      <c r="M20" s="103" t="b">
        <v>1</v>
      </c>
      <c r="N20" s="103" t="b">
        <v>1</v>
      </c>
      <c r="O20" s="103" t="s">
        <v>148</v>
      </c>
      <c r="P20" s="103">
        <v>422</v>
      </c>
    </row>
    <row r="21" spans="1:16" ht="150">
      <c r="A21" s="108" t="s">
        <v>195</v>
      </c>
      <c r="B21" s="108" t="s">
        <v>84</v>
      </c>
      <c r="C21" s="104"/>
      <c r="D21" s="103" t="s">
        <v>135</v>
      </c>
      <c r="E21" s="105">
        <v>60000</v>
      </c>
      <c r="F21" s="103" t="s">
        <v>137</v>
      </c>
      <c r="G21" s="103" t="s">
        <v>138</v>
      </c>
      <c r="H21" s="103" t="s">
        <v>139</v>
      </c>
      <c r="I21" s="103" t="s">
        <v>140</v>
      </c>
      <c r="J21" s="103" t="s">
        <v>144</v>
      </c>
      <c r="K21" s="103" t="b">
        <v>1</v>
      </c>
      <c r="L21" s="103" t="b">
        <v>1</v>
      </c>
      <c r="M21" s="103" t="b">
        <v>1</v>
      </c>
      <c r="N21" s="103" t="b">
        <v>1</v>
      </c>
      <c r="O21" s="103" t="s">
        <v>141</v>
      </c>
      <c r="P21" s="103">
        <v>422</v>
      </c>
    </row>
    <row r="22" spans="1:16" ht="150">
      <c r="A22" s="103" t="s">
        <v>142</v>
      </c>
      <c r="B22" s="103" t="s">
        <v>107</v>
      </c>
      <c r="C22" s="104"/>
      <c r="D22" s="103" t="s">
        <v>135</v>
      </c>
      <c r="E22" s="105">
        <v>60000</v>
      </c>
      <c r="F22" s="103" t="s">
        <v>137</v>
      </c>
      <c r="G22" s="103" t="s">
        <v>138</v>
      </c>
      <c r="H22" s="103" t="s">
        <v>139</v>
      </c>
      <c r="I22" s="103" t="s">
        <v>140</v>
      </c>
      <c r="J22" s="103" t="s">
        <v>144</v>
      </c>
      <c r="K22" s="104" t="b">
        <v>0</v>
      </c>
      <c r="L22" s="103" t="b">
        <v>1</v>
      </c>
      <c r="M22" s="103" t="b">
        <v>1</v>
      </c>
      <c r="N22" s="103" t="b">
        <v>1</v>
      </c>
      <c r="O22" s="103" t="s">
        <v>149</v>
      </c>
      <c r="P22" s="103">
        <v>422</v>
      </c>
    </row>
    <row r="23" spans="1:16" ht="150">
      <c r="A23" s="108" t="s">
        <v>196</v>
      </c>
      <c r="B23" s="109" t="s">
        <v>197</v>
      </c>
      <c r="C23" s="103" t="s">
        <v>136</v>
      </c>
      <c r="D23" s="103" t="s">
        <v>135</v>
      </c>
      <c r="E23" s="105">
        <v>60000</v>
      </c>
      <c r="F23" s="103" t="s">
        <v>137</v>
      </c>
      <c r="G23" s="103" t="s">
        <v>138</v>
      </c>
      <c r="H23" s="103" t="s">
        <v>139</v>
      </c>
      <c r="I23" s="103" t="s">
        <v>140</v>
      </c>
      <c r="J23" s="103" t="s">
        <v>144</v>
      </c>
      <c r="K23" s="103" t="b">
        <v>1</v>
      </c>
      <c r="L23" s="103" t="b">
        <v>1</v>
      </c>
      <c r="M23" s="103" t="b">
        <v>1</v>
      </c>
      <c r="N23" s="103" t="b">
        <v>1</v>
      </c>
      <c r="O23" s="103" t="s">
        <v>141</v>
      </c>
      <c r="P23" s="103">
        <v>422</v>
      </c>
    </row>
    <row r="24" spans="1:16" ht="150">
      <c r="A24" s="108" t="s">
        <v>198</v>
      </c>
      <c r="B24" s="108" t="s">
        <v>199</v>
      </c>
      <c r="C24" s="103" t="s">
        <v>136</v>
      </c>
      <c r="D24" s="103" t="s">
        <v>135</v>
      </c>
      <c r="E24" s="106"/>
      <c r="F24" s="103" t="s">
        <v>137</v>
      </c>
      <c r="G24" s="103" t="s">
        <v>138</v>
      </c>
      <c r="H24" s="103" t="s">
        <v>139</v>
      </c>
      <c r="I24" s="103" t="s">
        <v>140</v>
      </c>
      <c r="J24" s="103" t="s">
        <v>144</v>
      </c>
      <c r="K24" s="103" t="b">
        <v>1</v>
      </c>
      <c r="L24" s="103" t="b">
        <v>1</v>
      </c>
      <c r="M24" s="103" t="b">
        <v>1</v>
      </c>
      <c r="N24" s="103" t="b">
        <v>1</v>
      </c>
      <c r="O24" s="103" t="s">
        <v>141</v>
      </c>
      <c r="P24" s="103">
        <v>422</v>
      </c>
    </row>
    <row r="25" spans="1:16" ht="150">
      <c r="A25" s="103" t="s">
        <v>146</v>
      </c>
      <c r="B25" s="103" t="s">
        <v>200</v>
      </c>
      <c r="C25" s="103" t="s">
        <v>136</v>
      </c>
      <c r="D25" s="103" t="s">
        <v>135</v>
      </c>
      <c r="E25" s="106"/>
      <c r="F25" s="103" t="s">
        <v>137</v>
      </c>
      <c r="G25" s="103" t="s">
        <v>138</v>
      </c>
      <c r="H25" s="103" t="s">
        <v>139</v>
      </c>
      <c r="I25" s="103" t="s">
        <v>140</v>
      </c>
      <c r="J25" s="103" t="s">
        <v>144</v>
      </c>
      <c r="K25" s="103" t="b">
        <v>1</v>
      </c>
      <c r="L25" s="103" t="b">
        <v>1</v>
      </c>
      <c r="M25" s="104" t="b">
        <v>0</v>
      </c>
      <c r="N25" s="103" t="b">
        <v>1</v>
      </c>
      <c r="O25" s="103" t="s">
        <v>141</v>
      </c>
      <c r="P25" s="103">
        <v>422</v>
      </c>
    </row>
    <row r="26" spans="1:16" ht="150">
      <c r="A26" s="108" t="s">
        <v>201</v>
      </c>
      <c r="B26" s="108" t="s">
        <v>202</v>
      </c>
      <c r="C26" s="103" t="s">
        <v>136</v>
      </c>
      <c r="D26" s="103" t="s">
        <v>135</v>
      </c>
      <c r="E26" s="105">
        <v>60000</v>
      </c>
      <c r="F26" s="104"/>
      <c r="G26" s="103" t="s">
        <v>138</v>
      </c>
      <c r="H26" s="103" t="s">
        <v>139</v>
      </c>
      <c r="I26" s="103" t="s">
        <v>140</v>
      </c>
      <c r="J26" s="103" t="s">
        <v>144</v>
      </c>
      <c r="K26" s="103" t="b">
        <v>1</v>
      </c>
      <c r="L26" s="103" t="b">
        <v>1</v>
      </c>
      <c r="M26" s="103" t="b">
        <v>1</v>
      </c>
      <c r="N26" s="103" t="b">
        <v>1</v>
      </c>
      <c r="O26" s="103" t="s">
        <v>141</v>
      </c>
      <c r="P26" s="103">
        <v>422</v>
      </c>
    </row>
    <row r="27" spans="1:16" ht="150">
      <c r="A27" s="103" t="s">
        <v>145</v>
      </c>
      <c r="B27" s="103" t="s">
        <v>203</v>
      </c>
      <c r="C27" s="103" t="s">
        <v>136</v>
      </c>
      <c r="D27" s="103" t="s">
        <v>135</v>
      </c>
      <c r="E27" s="105">
        <v>60000</v>
      </c>
      <c r="F27" s="104"/>
      <c r="G27" s="103" t="s">
        <v>138</v>
      </c>
      <c r="H27" s="103" t="s">
        <v>139</v>
      </c>
      <c r="I27" s="103" t="s">
        <v>140</v>
      </c>
      <c r="J27" s="103" t="s">
        <v>144</v>
      </c>
      <c r="K27" s="103" t="b">
        <v>1</v>
      </c>
      <c r="L27" s="103" t="b">
        <v>1</v>
      </c>
      <c r="M27" s="103" t="b">
        <v>1</v>
      </c>
      <c r="N27" s="104" t="b">
        <v>0</v>
      </c>
      <c r="O27" s="103" t="s">
        <v>141</v>
      </c>
      <c r="P27" s="103">
        <v>422</v>
      </c>
    </row>
    <row r="28" spans="1:16" ht="150">
      <c r="A28" s="108" t="s">
        <v>204</v>
      </c>
      <c r="B28" s="108" t="s">
        <v>205</v>
      </c>
      <c r="C28" s="103" t="s">
        <v>136</v>
      </c>
      <c r="D28" s="103" t="s">
        <v>135</v>
      </c>
      <c r="E28" s="105">
        <v>60000</v>
      </c>
      <c r="F28" s="104" t="s">
        <v>206</v>
      </c>
      <c r="G28" s="103" t="s">
        <v>138</v>
      </c>
      <c r="H28" s="103" t="s">
        <v>139</v>
      </c>
      <c r="I28" s="103" t="s">
        <v>140</v>
      </c>
      <c r="J28" s="103" t="s">
        <v>144</v>
      </c>
      <c r="K28" s="103" t="b">
        <v>1</v>
      </c>
      <c r="L28" s="103" t="b">
        <v>1</v>
      </c>
      <c r="M28" s="103" t="b">
        <v>1</v>
      </c>
      <c r="N28" s="103" t="b">
        <v>1</v>
      </c>
      <c r="O28" s="103" t="s">
        <v>141</v>
      </c>
      <c r="P28" s="103">
        <v>422</v>
      </c>
    </row>
    <row r="29" spans="1:16" ht="150">
      <c r="A29" s="108" t="s">
        <v>207</v>
      </c>
      <c r="B29" s="108" t="s">
        <v>208</v>
      </c>
      <c r="C29" s="103" t="s">
        <v>136</v>
      </c>
      <c r="D29" s="103" t="s">
        <v>135</v>
      </c>
      <c r="E29" s="106">
        <v>-60000</v>
      </c>
      <c r="F29" s="103" t="s">
        <v>137</v>
      </c>
      <c r="G29" s="103" t="s">
        <v>138</v>
      </c>
      <c r="H29" s="103" t="s">
        <v>139</v>
      </c>
      <c r="I29" s="103" t="s">
        <v>140</v>
      </c>
      <c r="J29" s="103" t="s">
        <v>144</v>
      </c>
      <c r="K29" s="103" t="b">
        <v>1</v>
      </c>
      <c r="L29" s="103" t="b">
        <v>1</v>
      </c>
      <c r="M29" s="103" t="b">
        <v>1</v>
      </c>
      <c r="N29" s="103" t="b">
        <v>1</v>
      </c>
      <c r="O29" s="103" t="s">
        <v>141</v>
      </c>
      <c r="P29" s="103">
        <v>422</v>
      </c>
    </row>
    <row r="30" spans="1:16" ht="150">
      <c r="A30" s="108" t="s">
        <v>209</v>
      </c>
      <c r="B30" s="108" t="s">
        <v>210</v>
      </c>
      <c r="C30" s="103" t="s">
        <v>136</v>
      </c>
      <c r="D30" s="103" t="s">
        <v>135</v>
      </c>
      <c r="E30" s="106">
        <v>0</v>
      </c>
      <c r="F30" s="103" t="s">
        <v>137</v>
      </c>
      <c r="G30" s="103" t="s">
        <v>138</v>
      </c>
      <c r="H30" s="103" t="s">
        <v>139</v>
      </c>
      <c r="I30" s="103" t="s">
        <v>140</v>
      </c>
      <c r="J30" s="103" t="s">
        <v>144</v>
      </c>
      <c r="K30" s="103" t="b">
        <v>1</v>
      </c>
      <c r="L30" s="103" t="b">
        <v>1</v>
      </c>
      <c r="M30" s="103" t="b">
        <v>1</v>
      </c>
      <c r="N30" s="103" t="b">
        <v>1</v>
      </c>
      <c r="O30" s="103" t="s">
        <v>141</v>
      </c>
      <c r="P30" s="103">
        <v>422</v>
      </c>
    </row>
    <row r="31" spans="1:16" ht="150">
      <c r="A31" s="108" t="s">
        <v>211</v>
      </c>
      <c r="B31" s="108" t="s">
        <v>212</v>
      </c>
      <c r="C31" s="103" t="s">
        <v>136</v>
      </c>
      <c r="D31" s="103" t="s">
        <v>135</v>
      </c>
      <c r="E31" s="106">
        <v>1000</v>
      </c>
      <c r="F31" s="103" t="s">
        <v>137</v>
      </c>
      <c r="G31" s="103" t="s">
        <v>138</v>
      </c>
      <c r="H31" s="103" t="s">
        <v>139</v>
      </c>
      <c r="I31" s="103" t="s">
        <v>140</v>
      </c>
      <c r="J31" s="103" t="s">
        <v>144</v>
      </c>
      <c r="K31" s="103" t="b">
        <v>1</v>
      </c>
      <c r="L31" s="103" t="b">
        <v>1</v>
      </c>
      <c r="M31" s="103" t="b">
        <v>1</v>
      </c>
      <c r="N31" s="103" t="b">
        <v>1</v>
      </c>
      <c r="O31" s="103" t="s">
        <v>141</v>
      </c>
      <c r="P31" s="103">
        <v>422</v>
      </c>
    </row>
    <row r="32" spans="1:16" ht="150">
      <c r="A32" s="108" t="s">
        <v>213</v>
      </c>
      <c r="B32" s="108" t="s">
        <v>214</v>
      </c>
      <c r="C32" s="103" t="s">
        <v>136</v>
      </c>
      <c r="D32" s="103" t="s">
        <v>135</v>
      </c>
      <c r="E32" s="105">
        <v>60000</v>
      </c>
      <c r="F32" s="103" t="s">
        <v>137</v>
      </c>
      <c r="G32" s="103" t="s">
        <v>138</v>
      </c>
      <c r="H32" s="103" t="s">
        <v>139</v>
      </c>
      <c r="I32" s="103" t="s">
        <v>215</v>
      </c>
      <c r="J32" s="103" t="s">
        <v>144</v>
      </c>
      <c r="K32" s="103" t="b">
        <v>1</v>
      </c>
      <c r="L32" s="103" t="b">
        <v>1</v>
      </c>
      <c r="M32" s="103" t="b">
        <v>1</v>
      </c>
      <c r="N32" s="103" t="b">
        <v>1</v>
      </c>
      <c r="O32" s="103" t="s">
        <v>141</v>
      </c>
      <c r="P32" s="103">
        <v>422</v>
      </c>
    </row>
    <row r="33" spans="1:16" ht="150">
      <c r="A33" s="108" t="s">
        <v>216</v>
      </c>
      <c r="B33" s="109" t="s">
        <v>217</v>
      </c>
      <c r="C33" s="103" t="s">
        <v>136</v>
      </c>
      <c r="D33" s="103" t="s">
        <v>135</v>
      </c>
      <c r="E33" s="105">
        <v>60000</v>
      </c>
      <c r="F33" s="103" t="s">
        <v>137</v>
      </c>
      <c r="G33" s="103" t="s">
        <v>138</v>
      </c>
      <c r="H33" s="103" t="s">
        <v>139</v>
      </c>
      <c r="I33" s="103" t="s">
        <v>140</v>
      </c>
      <c r="J33" s="103" t="s">
        <v>144</v>
      </c>
      <c r="K33" s="103" t="b">
        <v>1</v>
      </c>
      <c r="L33" s="103" t="b">
        <v>1</v>
      </c>
      <c r="M33" s="103" t="b">
        <v>1</v>
      </c>
      <c r="N33" s="103" t="b">
        <v>1</v>
      </c>
      <c r="O33" s="103" t="s">
        <v>141</v>
      </c>
      <c r="P33" s="103">
        <v>422</v>
      </c>
    </row>
    <row r="34" spans="1:16" ht="150">
      <c r="A34" s="108" t="s">
        <v>218</v>
      </c>
      <c r="B34" s="109" t="s">
        <v>219</v>
      </c>
      <c r="C34" s="103" t="s">
        <v>136</v>
      </c>
      <c r="D34" s="103" t="s">
        <v>135</v>
      </c>
      <c r="E34" s="105" t="s">
        <v>220</v>
      </c>
      <c r="F34" s="103" t="s">
        <v>137</v>
      </c>
      <c r="G34" s="103" t="s">
        <v>138</v>
      </c>
      <c r="H34" s="103" t="s">
        <v>139</v>
      </c>
      <c r="I34" s="103" t="s">
        <v>140</v>
      </c>
      <c r="J34" s="103" t="s">
        <v>144</v>
      </c>
      <c r="K34" s="103" t="b">
        <v>1</v>
      </c>
      <c r="L34" s="103" t="b">
        <v>1</v>
      </c>
      <c r="M34" s="103" t="b">
        <v>1</v>
      </c>
      <c r="N34" s="103" t="b">
        <v>1</v>
      </c>
      <c r="O34" s="103" t="s">
        <v>141</v>
      </c>
      <c r="P34" s="103">
        <v>422</v>
      </c>
    </row>
    <row r="35" spans="1:16" ht="150">
      <c r="A35" s="108" t="s">
        <v>221</v>
      </c>
      <c r="B35" s="109" t="s">
        <v>112</v>
      </c>
      <c r="C35" s="103" t="s">
        <v>136</v>
      </c>
      <c r="D35" s="103" t="s">
        <v>222</v>
      </c>
      <c r="E35" s="105">
        <v>60000</v>
      </c>
      <c r="F35" s="103" t="s">
        <v>137</v>
      </c>
      <c r="G35" s="103" t="s">
        <v>138</v>
      </c>
      <c r="H35" s="103" t="s">
        <v>139</v>
      </c>
      <c r="I35" s="103" t="s">
        <v>140</v>
      </c>
      <c r="J35" s="103" t="s">
        <v>144</v>
      </c>
      <c r="K35" s="103" t="b">
        <v>1</v>
      </c>
      <c r="L35" s="103" t="b">
        <v>1</v>
      </c>
      <c r="M35" s="103" t="b">
        <v>1</v>
      </c>
      <c r="N35" s="103" t="b">
        <v>1</v>
      </c>
      <c r="O35" s="103" t="s">
        <v>141</v>
      </c>
      <c r="P35" s="103">
        <v>422</v>
      </c>
    </row>
    <row r="36" spans="1:16" ht="150">
      <c r="A36" s="108" t="s">
        <v>223</v>
      </c>
      <c r="B36" s="109" t="s">
        <v>113</v>
      </c>
      <c r="C36" s="103" t="s">
        <v>136</v>
      </c>
      <c r="D36" s="103" t="s">
        <v>135</v>
      </c>
      <c r="E36" s="105">
        <v>60000</v>
      </c>
      <c r="F36" s="103" t="s">
        <v>137</v>
      </c>
      <c r="G36" s="103" t="s">
        <v>138</v>
      </c>
      <c r="H36" s="103" t="s">
        <v>139</v>
      </c>
      <c r="I36" s="103" t="s">
        <v>140</v>
      </c>
      <c r="J36" s="103" t="s">
        <v>144</v>
      </c>
      <c r="K36" s="103" t="b">
        <v>1</v>
      </c>
      <c r="L36" s="103" t="b">
        <v>1</v>
      </c>
      <c r="M36" s="103" t="b">
        <v>1</v>
      </c>
      <c r="N36" s="103" t="b">
        <v>1</v>
      </c>
      <c r="O36" s="103" t="s">
        <v>141</v>
      </c>
      <c r="P36" s="103">
        <v>422</v>
      </c>
    </row>
    <row r="37" spans="1:16" ht="150">
      <c r="A37" s="108" t="s">
        <v>224</v>
      </c>
      <c r="B37" s="109" t="s">
        <v>114</v>
      </c>
      <c r="C37" s="103" t="s">
        <v>136</v>
      </c>
      <c r="D37" s="103" t="s">
        <v>135</v>
      </c>
      <c r="E37" s="105">
        <v>60000</v>
      </c>
      <c r="F37" s="103" t="s">
        <v>137</v>
      </c>
      <c r="G37" s="103" t="s">
        <v>138</v>
      </c>
      <c r="H37" s="103" t="s">
        <v>139</v>
      </c>
      <c r="I37" s="103" t="s">
        <v>140</v>
      </c>
      <c r="J37" s="103" t="s">
        <v>144</v>
      </c>
      <c r="K37" s="103" t="b">
        <v>1</v>
      </c>
      <c r="L37" s="103" t="b">
        <v>1</v>
      </c>
      <c r="M37" s="103" t="b">
        <v>1</v>
      </c>
      <c r="N37" s="103" t="b">
        <v>1</v>
      </c>
      <c r="O37" s="103" t="s">
        <v>141</v>
      </c>
      <c r="P37" s="103">
        <v>422</v>
      </c>
    </row>
    <row r="38" spans="1:16" ht="150">
      <c r="A38" s="108" t="s">
        <v>225</v>
      </c>
      <c r="B38" s="110" t="s">
        <v>115</v>
      </c>
      <c r="C38" s="103" t="s">
        <v>136</v>
      </c>
      <c r="D38" s="103" t="s">
        <v>135</v>
      </c>
      <c r="E38" s="105">
        <v>60000</v>
      </c>
      <c r="F38" s="103" t="s">
        <v>137</v>
      </c>
      <c r="G38" s="103" t="s">
        <v>138</v>
      </c>
      <c r="H38" s="103" t="s">
        <v>139</v>
      </c>
      <c r="I38" s="103" t="s">
        <v>140</v>
      </c>
      <c r="J38" s="103" t="s">
        <v>144</v>
      </c>
      <c r="K38" s="103" t="b">
        <v>1</v>
      </c>
      <c r="L38" s="103" t="b">
        <v>1</v>
      </c>
      <c r="M38" s="103" t="b">
        <v>1</v>
      </c>
      <c r="N38" s="103" t="b">
        <v>1</v>
      </c>
      <c r="O38" s="103" t="s">
        <v>141</v>
      </c>
      <c r="P38" s="103">
        <v>422</v>
      </c>
    </row>
    <row r="39" spans="1:16" ht="150">
      <c r="A39" s="108" t="s">
        <v>226</v>
      </c>
      <c r="B39" s="110" t="s">
        <v>227</v>
      </c>
      <c r="C39" s="103" t="s">
        <v>136</v>
      </c>
      <c r="D39" s="103" t="s">
        <v>135</v>
      </c>
      <c r="E39" s="105">
        <v>60000</v>
      </c>
      <c r="F39" s="103" t="s">
        <v>137</v>
      </c>
      <c r="G39" s="103" t="s">
        <v>138</v>
      </c>
      <c r="H39" s="103" t="s">
        <v>139</v>
      </c>
      <c r="I39" s="103" t="s">
        <v>140</v>
      </c>
      <c r="J39" s="103" t="s">
        <v>144</v>
      </c>
      <c r="K39" s="103" t="b">
        <v>1</v>
      </c>
      <c r="L39" s="103" t="b">
        <v>1</v>
      </c>
      <c r="M39" s="103" t="b">
        <v>1</v>
      </c>
      <c r="N39" s="103" t="b">
        <v>1</v>
      </c>
      <c r="O39" s="103" t="s">
        <v>141</v>
      </c>
      <c r="P39" s="103">
        <v>422</v>
      </c>
    </row>
    <row r="40" spans="1:16" ht="150">
      <c r="A40" s="108" t="s">
        <v>228</v>
      </c>
      <c r="B40" s="110" t="s">
        <v>229</v>
      </c>
      <c r="C40" s="103" t="s">
        <v>136</v>
      </c>
      <c r="D40" s="103" t="s">
        <v>135</v>
      </c>
      <c r="E40" s="105">
        <v>60000</v>
      </c>
      <c r="F40" s="103" t="s">
        <v>137</v>
      </c>
      <c r="G40" s="103" t="s">
        <v>138</v>
      </c>
      <c r="H40" s="103" t="s">
        <v>139</v>
      </c>
      <c r="I40" s="103" t="s">
        <v>140</v>
      </c>
      <c r="J40" s="103" t="s">
        <v>144</v>
      </c>
      <c r="K40" s="103" t="b">
        <v>1</v>
      </c>
      <c r="L40" s="103" t="b">
        <v>1</v>
      </c>
      <c r="M40" s="103" t="b">
        <v>1</v>
      </c>
      <c r="N40" s="103" t="b">
        <v>1</v>
      </c>
      <c r="O40" s="103" t="s">
        <v>141</v>
      </c>
      <c r="P40" s="103">
        <v>422</v>
      </c>
    </row>
    <row r="41" spans="1:16" ht="150">
      <c r="A41" s="108" t="s">
        <v>228</v>
      </c>
      <c r="B41" s="110" t="s">
        <v>116</v>
      </c>
      <c r="C41" s="103" t="s">
        <v>136</v>
      </c>
      <c r="D41" s="103" t="s">
        <v>135</v>
      </c>
      <c r="E41" s="105">
        <v>60000</v>
      </c>
      <c r="F41" s="103" t="s">
        <v>137</v>
      </c>
      <c r="G41" s="103" t="s">
        <v>138</v>
      </c>
      <c r="H41" s="103" t="s">
        <v>139</v>
      </c>
      <c r="I41" s="103" t="s">
        <v>140</v>
      </c>
      <c r="J41" s="103" t="s">
        <v>144</v>
      </c>
      <c r="K41" s="103" t="b">
        <v>1</v>
      </c>
      <c r="L41" s="103" t="b">
        <v>1</v>
      </c>
      <c r="M41" s="103" t="b">
        <v>1</v>
      </c>
      <c r="N41" s="103" t="b">
        <v>1</v>
      </c>
      <c r="O41" s="103" t="s">
        <v>141</v>
      </c>
      <c r="P41" s="103">
        <v>422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2BEF0-8899-478B-BE7E-ED684F306C3A}">
  <dimension ref="A1:J16"/>
  <sheetViews>
    <sheetView tabSelected="1" topLeftCell="A11" workbookViewId="0">
      <selection activeCell="C17" sqref="C17"/>
    </sheetView>
  </sheetViews>
  <sheetFormatPr defaultRowHeight="15"/>
  <cols>
    <col min="1" max="1" width="19.140625" bestFit="1" customWidth="1"/>
    <col min="2" max="2" width="8.42578125" bestFit="1" customWidth="1"/>
    <col min="3" max="3" width="25.5703125" customWidth="1"/>
    <col min="4" max="4" width="23.5703125" customWidth="1"/>
    <col min="5" max="5" width="16.28515625" customWidth="1"/>
    <col min="6" max="6" width="11" customWidth="1"/>
    <col min="7" max="7" width="12.42578125" customWidth="1"/>
    <col min="8" max="8" width="19.42578125" customWidth="1"/>
    <col min="9" max="9" width="20.7109375" customWidth="1"/>
    <col min="10" max="10" width="19.140625" customWidth="1"/>
  </cols>
  <sheetData>
    <row r="1" spans="1:10" ht="18.75" thickBot="1">
      <c r="A1" s="3" t="s">
        <v>11</v>
      </c>
      <c r="B1" s="3"/>
      <c r="C1" s="3"/>
      <c r="D1" s="3"/>
      <c r="E1" s="4"/>
      <c r="F1" s="4"/>
      <c r="G1" s="5"/>
      <c r="H1" s="5"/>
      <c r="I1" s="5"/>
      <c r="J1" s="4"/>
    </row>
    <row r="2" spans="1:10">
      <c r="A2" s="18"/>
      <c r="B2" s="19" t="s">
        <v>2</v>
      </c>
      <c r="C2" s="20" t="s">
        <v>3</v>
      </c>
      <c r="D2" s="6"/>
      <c r="E2" s="7"/>
      <c r="F2" s="8"/>
      <c r="G2" s="9"/>
      <c r="H2" s="9"/>
      <c r="I2" s="9"/>
      <c r="J2" s="8"/>
    </row>
    <row r="3" spans="1:10">
      <c r="A3" s="21" t="s">
        <v>12</v>
      </c>
      <c r="B3" s="13">
        <f>COUNTA(A13:A4367)</f>
        <v>1</v>
      </c>
      <c r="C3" s="22">
        <f>COUNTA(A13:A4167)</f>
        <v>1</v>
      </c>
      <c r="D3" s="6"/>
      <c r="E3" s="7"/>
      <c r="F3" s="8"/>
      <c r="G3" s="9"/>
      <c r="H3" s="9"/>
      <c r="I3" s="9"/>
      <c r="J3" s="8"/>
    </row>
    <row r="4" spans="1:10">
      <c r="A4" s="45" t="s">
        <v>5</v>
      </c>
      <c r="B4" s="46">
        <f>SUM(B5:B9)</f>
        <v>1</v>
      </c>
      <c r="C4" s="47">
        <f>SUM(C5:C9)</f>
        <v>0</v>
      </c>
      <c r="D4" s="6"/>
      <c r="E4" s="6"/>
      <c r="F4" s="6"/>
      <c r="G4" s="9"/>
      <c r="H4" s="9"/>
      <c r="I4" s="9"/>
      <c r="J4" s="8"/>
    </row>
    <row r="5" spans="1:10">
      <c r="A5" s="23" t="s">
        <v>6</v>
      </c>
      <c r="B5" s="14">
        <f>COUNTIF(H16:H2304, "Passed")</f>
        <v>1</v>
      </c>
      <c r="C5" s="24">
        <f>COUNTIF(I16:I2304, "Passed")</f>
        <v>0</v>
      </c>
      <c r="D5" s="6"/>
      <c r="E5" s="7"/>
      <c r="F5" s="8"/>
      <c r="G5" s="9"/>
      <c r="H5" s="9"/>
      <c r="I5" s="9"/>
      <c r="J5" s="8"/>
    </row>
    <row r="6" spans="1:10">
      <c r="A6" s="23" t="s">
        <v>7</v>
      </c>
      <c r="B6" s="14">
        <f>COUNTIF(H16:H2304, "Failed")</f>
        <v>0</v>
      </c>
      <c r="C6" s="24">
        <f>COUNTIF(I16:I2304, "Failed")</f>
        <v>0</v>
      </c>
      <c r="D6" s="6"/>
      <c r="E6" s="7"/>
      <c r="F6" s="8"/>
      <c r="G6" s="9"/>
      <c r="H6" s="9"/>
      <c r="I6" s="9"/>
      <c r="J6" s="8"/>
    </row>
    <row r="7" spans="1:10">
      <c r="A7" s="23" t="s">
        <v>8</v>
      </c>
      <c r="B7" s="14">
        <f>COUNTIF(H17:H2305, "Untested")</f>
        <v>0</v>
      </c>
      <c r="C7" s="24">
        <f>COUNTIF(I16:I730, "Untested")</f>
        <v>0</v>
      </c>
      <c r="D7" s="6"/>
      <c r="E7" s="7"/>
      <c r="F7" s="8"/>
      <c r="G7" s="9"/>
      <c r="H7" s="9"/>
      <c r="I7" s="9"/>
      <c r="J7" s="8"/>
    </row>
    <row r="8" spans="1:10">
      <c r="A8" s="23" t="s">
        <v>9</v>
      </c>
      <c r="B8" s="14">
        <f>COUNTIF(H16:H730, "Accepted")</f>
        <v>0</v>
      </c>
      <c r="C8" s="24">
        <f>COUNTIF(I16:I730, "Accepted")</f>
        <v>0</v>
      </c>
      <c r="D8" s="6" t="s">
        <v>13</v>
      </c>
      <c r="E8" s="7"/>
      <c r="F8" s="8"/>
      <c r="G8" s="9"/>
      <c r="H8" s="9"/>
      <c r="I8" s="9"/>
      <c r="J8" s="8"/>
    </row>
    <row r="9" spans="1:10" ht="15.75" thickBot="1">
      <c r="A9" s="25" t="s">
        <v>10</v>
      </c>
      <c r="B9" s="26">
        <f>COUNTIF(H21:H10733, "N/A")</f>
        <v>0</v>
      </c>
      <c r="C9" s="27">
        <f>COUNTIF(I21:I10733, "N/A")</f>
        <v>0</v>
      </c>
      <c r="D9" s="6"/>
      <c r="E9" s="7"/>
      <c r="F9" s="8"/>
      <c r="G9" s="9"/>
      <c r="H9" s="9"/>
      <c r="I9" s="9"/>
      <c r="J9" s="8"/>
    </row>
    <row r="10" spans="1:10" ht="15.75" thickBot="1">
      <c r="A10" s="10"/>
      <c r="B10" s="11"/>
      <c r="C10" s="11"/>
      <c r="D10" s="12"/>
      <c r="E10" s="7"/>
      <c r="F10" s="8"/>
      <c r="G10" s="9"/>
      <c r="H10" s="9"/>
      <c r="I10" s="9"/>
      <c r="J10" s="8"/>
    </row>
    <row r="11" spans="1:10" ht="51.75" thickBot="1">
      <c r="A11" s="42" t="s">
        <v>14</v>
      </c>
      <c r="B11" s="43" t="s">
        <v>15</v>
      </c>
      <c r="C11" s="43" t="s">
        <v>16</v>
      </c>
      <c r="D11" s="43" t="s">
        <v>17</v>
      </c>
      <c r="E11" s="43" t="s">
        <v>18</v>
      </c>
      <c r="F11" s="43" t="s">
        <v>19</v>
      </c>
      <c r="G11" s="43" t="s">
        <v>20</v>
      </c>
      <c r="H11" s="43" t="s">
        <v>21</v>
      </c>
      <c r="I11" s="43" t="s">
        <v>22</v>
      </c>
      <c r="J11" s="44" t="s">
        <v>23</v>
      </c>
    </row>
    <row r="12" spans="1:10">
      <c r="A12" s="38"/>
      <c r="B12" s="39"/>
      <c r="C12" s="40" t="s">
        <v>24</v>
      </c>
      <c r="D12" s="39"/>
      <c r="E12" s="39"/>
      <c r="F12" s="39"/>
      <c r="G12" s="39"/>
      <c r="H12" s="39"/>
      <c r="I12" s="39"/>
      <c r="J12" s="41"/>
    </row>
    <row r="13" spans="1:10">
      <c r="A13" s="28"/>
      <c r="B13" s="15"/>
      <c r="C13" s="15" t="s">
        <v>25</v>
      </c>
      <c r="D13" s="15"/>
      <c r="E13" s="15"/>
      <c r="F13" s="15"/>
      <c r="G13" s="15"/>
      <c r="H13" s="15"/>
      <c r="I13" s="15"/>
      <c r="J13" s="29"/>
    </row>
    <row r="14" spans="1:10">
      <c r="A14" s="21"/>
      <c r="B14" s="16" t="s">
        <v>26</v>
      </c>
      <c r="C14" s="1" t="s">
        <v>27</v>
      </c>
      <c r="D14" s="1"/>
      <c r="E14" s="2"/>
      <c r="F14" s="2"/>
      <c r="G14" s="2"/>
      <c r="H14" s="2"/>
      <c r="I14" s="2"/>
      <c r="J14" s="30"/>
    </row>
    <row r="15" spans="1:10">
      <c r="A15" s="31"/>
      <c r="B15" s="17"/>
      <c r="C15" s="128" t="s">
        <v>28</v>
      </c>
      <c r="D15" s="128"/>
      <c r="E15" s="17"/>
      <c r="F15" s="17"/>
      <c r="G15" s="17"/>
      <c r="H15" s="17"/>
      <c r="I15" s="17"/>
      <c r="J15" s="32"/>
    </row>
    <row r="16" spans="1:10" ht="26.25" thickBot="1">
      <c r="A16" s="33" t="s">
        <v>26</v>
      </c>
      <c r="B16" s="34" t="str">
        <f>IF(D16&lt;&gt;"","[FN_"&amp;TEXT(ROW()-15-COUNTBLANK(D$16:$D16),"###")&amp;"]","")</f>
        <v>[FN_1]</v>
      </c>
      <c r="C16" s="35" t="s">
        <v>30</v>
      </c>
      <c r="D16" s="35" t="s">
        <v>30</v>
      </c>
      <c r="E16" s="35" t="s">
        <v>31</v>
      </c>
      <c r="F16" s="34"/>
      <c r="G16" s="36" t="s">
        <v>29</v>
      </c>
      <c r="H16" s="34" t="s">
        <v>6</v>
      </c>
      <c r="I16" s="34"/>
      <c r="J16" s="37"/>
    </row>
  </sheetData>
  <mergeCells count="2">
    <mergeCell ref="C14:D14"/>
    <mergeCell ref="C15:D15"/>
  </mergeCells>
  <conditionalFormatting sqref="H1:H15">
    <cfRule type="cellIs" dxfId="0" priority="1" operator="equal">
      <formula>"Failed"</formula>
    </cfRule>
  </conditionalFormatting>
  <dataValidations count="2">
    <dataValidation type="list" allowBlank="1" showInputMessage="1" showErrorMessage="1" sqref="G16" xr:uid="{91B9D291-B7D8-49CA-AC4F-573E41840DA6}">
      <formula1>"High, Medium, Low"</formula1>
    </dataValidation>
    <dataValidation type="list" allowBlank="1" showInputMessage="1" showErrorMessage="1" sqref="H16:I16" xr:uid="{3648BEA0-96F4-4825-888B-92C2A978AEE0}">
      <formula1>"Passed,Failed,Untested,Accepted,N/A"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Requirement Mapping</vt:lpstr>
      <vt:lpstr>Sheet1</vt:lpstr>
      <vt:lpstr>TestData</vt:lpstr>
      <vt:lpstr>TestData2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Tran Thi</dc:creator>
  <cp:lastModifiedBy>Thu Trần</cp:lastModifiedBy>
  <dcterms:created xsi:type="dcterms:W3CDTF">2015-06-05T18:17:20Z</dcterms:created>
  <dcterms:modified xsi:type="dcterms:W3CDTF">2026-03-23T17:51:10Z</dcterms:modified>
</cp:coreProperties>
</file>